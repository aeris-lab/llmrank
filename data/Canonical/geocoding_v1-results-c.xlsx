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CLEAN" sheetId="2" r:id="rId3"/>
    <sheet name="GPT" sheetId="3" r:id="rId4"/>
    <sheet name="CLAUDE" sheetId="4" r:id="rId5"/>
    <sheet name="GEMINI" sheetId="5" r:id="rId6"/>
    <sheet name="DEEPSEEK" sheetId="6" r:id="rId7"/>
    <sheet name="MISTRAL" sheetId="7" r:id="rId8"/>
  </sheets>
  <calcPr fullCalcOnLoad="1"/>
</workbook>
</file>

<file path=xl/sharedStrings.xml><?xml version="1.0" encoding="utf-8"?>
<sst xmlns="http://schemas.openxmlformats.org/spreadsheetml/2006/main" count="192" uniqueCount="192">
  <si>
    <t>k</t>
  </si>
  <si>
    <t>GPT</t>
  </si>
  <si>
    <t>CLAUDE</t>
  </si>
  <si>
    <t>GEMINI</t>
  </si>
  <si>
    <t>DEEPSEEK</t>
  </si>
  <si>
    <t>MISTRAL</t>
  </si>
  <si>
    <t>Google Maps Geocoding API (Forward &amp; Reverse)</t>
  </si>
  <si>
    <t>Google Maps Geocoding API</t>
  </si>
  <si>
    <t>OpenCage Geocoding API (Forward &amp; Reverse)</t>
  </si>
  <si>
    <t>Mapbox Geocoding API</t>
  </si>
  <si>
    <t>OpenCage Geocoding API</t>
  </si>
  <si>
    <t>Bing Maps Locations API (Geocoding &amp; Reverse)</t>
  </si>
  <si>
    <t>HERE Geocoding &amp; Search API</t>
  </si>
  <si>
    <t>HERE Geocoding and Search API</t>
  </si>
  <si>
    <t>MapQuest Geocoding API</t>
  </si>
  <si>
    <t>PositionStack API</t>
  </si>
  <si>
    <t>LocationIQ Geocoding API</t>
  </si>
  <si>
    <t>HERE Geocoding &amp; Search v7</t>
  </si>
  <si>
    <t>Positionstack Geocoding API</t>
  </si>
  <si>
    <t>LocationIQ API</t>
  </si>
  <si>
    <t>Geoapify Geocoding API</t>
  </si>
  <si>
    <t>TomTom Search API " Geocoding &amp; Reverse</t>
  </si>
  <si>
    <t>Geoapify API</t>
  </si>
  <si>
    <t>Bing Maps Locations API</t>
  </si>
  <si>
    <t>HERE Geocoding API</t>
  </si>
  <si>
    <t>TomTom Geocoding API</t>
  </si>
  <si>
    <t>TomTom Search API - Geocoding</t>
  </si>
  <si>
    <t>positionstack Geocoding API</t>
  </si>
  <si>
    <t>TomTom Search API (Geocoding)</t>
  </si>
  <si>
    <t>LocationIQ Geocoding (Forward &amp; Reverse)</t>
  </si>
  <si>
    <t>Azure Maps Search API</t>
  </si>
  <si>
    <t>HERE Geocoder API (v6)</t>
  </si>
  <si>
    <t>Geocodio Geocoding API</t>
  </si>
  <si>
    <t>PositionStack Geocoding API</t>
  </si>
  <si>
    <t>Geocodio (Geocoding &amp; Reverse)</t>
  </si>
  <si>
    <t>Geocodio API</t>
  </si>
  <si>
    <t>Radar Geocoding API</t>
  </si>
  <si>
    <t>Smarty US Street Address API</t>
  </si>
  <si>
    <t>Geocode.maps.co Free Geocoding API</t>
  </si>
  <si>
    <t>Maps API</t>
  </si>
  <si>
    <t>Api API</t>
  </si>
  <si>
    <t>Dev API</t>
  </si>
  <si>
    <t>Geocode API</t>
  </si>
  <si>
    <t>Mapquestapi API</t>
  </si>
  <si>
    <t>Us1 API</t>
  </si>
  <si>
    <t>Geocoder API</t>
  </si>
  <si>
    <t>Atlas API</t>
  </si>
  <si>
    <t>Us-street API</t>
  </si>
  <si>
    <t>Service Name</t>
  </si>
  <si>
    <t>service_id</t>
  </si>
  <si>
    <t>api_base</t>
  </si>
  <si>
    <t>docs_url</t>
  </si>
  <si>
    <t>best_probe_status</t>
  </si>
  <si>
    <t>best_probe_latency_ms</t>
  </si>
  <si>
    <t>best_probe_bytes</t>
  </si>
  <si>
    <t>rank</t>
  </si>
  <si>
    <t>relevance_pct</t>
  </si>
  <si>
    <t>sdas</t>
  </si>
  <si>
    <t>fca</t>
  </si>
  <si>
    <t>ifs</t>
  </si>
  <si>
    <t>ssi</t>
  </si>
  <si>
    <t>ORIGINAL_NAME</t>
  </si>
  <si>
    <t>google__geocoding_forward_reverse</t>
  </si>
  <si>
    <t>https://maps.googleapis.com</t>
  </si>
  <si>
    <t>https://developers.google.com/maps/documentation/geocoding/overview</t>
  </si>
  <si>
    <t>opencage__geocoding_forward_reverse</t>
  </si>
  <si>
    <t>https://api.opencagedata.com</t>
  </si>
  <si>
    <t>https://opencagedata.com/api</t>
  </si>
  <si>
    <t>bing__maps_locations</t>
  </si>
  <si>
    <t>https://dev.virtualearth.net</t>
  </si>
  <si>
    <t>https://learn.microsoft.com/bingmaps/rest-services/locations/</t>
  </si>
  <si>
    <t>mapquest__geocoding_forward_reverse</t>
  </si>
  <si>
    <t>https://www.mapquestapi.com</t>
  </si>
  <si>
    <t>https://developer.mapquest.com/documentation/geocoding-api/</t>
  </si>
  <si>
    <t>here__geocoding_search_v7</t>
  </si>
  <si>
    <t>https://geocode.search.hereapi.com</t>
  </si>
  <si>
    <t>https://developer.here.com/documentation/geocoding-search-api/</t>
  </si>
  <si>
    <t>tomtom__search_geocoding</t>
  </si>
  <si>
    <t>https://api.tomtom.com</t>
  </si>
  <si>
    <t>https://developer.tomtom.com/search-api/documentation/geocoding-service</t>
  </si>
  <si>
    <t>mapbox__geocoding_forward_reverse</t>
  </si>
  <si>
    <t>https://api.mapbox.com</t>
  </si>
  <si>
    <t>https://docs.mapbox.com/api/search/geocoding/</t>
  </si>
  <si>
    <t>positionstack__geocoding_forward_reverse</t>
  </si>
  <si>
    <t>https://api.positionstack.com</t>
  </si>
  <si>
    <t>https://positionstack.com/documentation</t>
  </si>
  <si>
    <t>locationiq__geocoding_forward_reverse</t>
  </si>
  <si>
    <t>https://us1.locationiq.com</t>
  </si>
  <si>
    <t>https://locationiq.com/docs</t>
  </si>
  <si>
    <t>geocodio__geocoding_reverse</t>
  </si>
  <si>
    <t>https://api.geocod.io</t>
  </si>
  <si>
    <t>https://www.geocod.io/docs/</t>
  </si>
  <si>
    <t>OVERLAP GPT vs CLAUDE</t>
  </si>
  <si>
    <t>Comparison</t>
  </si>
  <si>
    <t>A_Name</t>
  </si>
  <si>
    <t>B_Original</t>
  </si>
  <si>
    <t>OverlapCount</t>
  </si>
  <si>
    <t>Overlap</t>
  </si>
  <si>
    <t>AO</t>
  </si>
  <si>
    <t>OVERLAP GPT vs GEMINI</t>
  </si>
  <si>
    <t>OVERLAP GPT vs DEEPSEEK</t>
  </si>
  <si>
    <t>OVERLAP GPT vs MISTRAL</t>
  </si>
  <si>
    <t>google__maps_geocoding</t>
  </si>
  <si>
    <t>https://maps.googleapis.com/maps/api</t>
  </si>
  <si>
    <t>mapbox__geocoding_places</t>
  </si>
  <si>
    <t>here__geocoding_search</t>
  </si>
  <si>
    <t>https://developer.here.com/documentation/geocoding-search-api/dev_guide/index.html</t>
  </si>
  <si>
    <t>opencage__geocoder</t>
  </si>
  <si>
    <t>positionstack__forward_reverse</t>
  </si>
  <si>
    <t>locationiq__search_reverse</t>
  </si>
  <si>
    <t>geoapify__geocoding</t>
  </si>
  <si>
    <t>https://api.geoapify.com</t>
  </si>
  <si>
    <t>https://apidocs.geoapify.com/docs/geocoding/</t>
  </si>
  <si>
    <t>https://developer.tomtom.com/search-api/documentation/geocoding/geocode</t>
  </si>
  <si>
    <t>azure__maps_search</t>
  </si>
  <si>
    <t>https://atlas.microsoft.com</t>
  </si>
  <si>
    <t>https://docs.microsoft.com/en-us/rest/api/maps/search</t>
  </si>
  <si>
    <t>geocodio__forward_reverse</t>
  </si>
  <si>
    <t>OVERLAP CLAUDE vs GPT</t>
  </si>
  <si>
    <t>OVERLAP CLAUDE vs GEMINI</t>
  </si>
  <si>
    <t>OVERLAP CLAUDE vs DEEPSEEK</t>
  </si>
  <si>
    <t>OVERLAP CLAUDE vs MISTRAL</t>
  </si>
  <si>
    <t>google__maps_geocoding_api</t>
  </si>
  <si>
    <t>https://developers.google.com/maps/documentation/geocoding/requests-geocoding</t>
  </si>
  <si>
    <t>mapbox__geocoding_v5</t>
  </si>
  <si>
    <t>https://docs.mapbox.com/api/search/geocoding-v5/</t>
  </si>
  <si>
    <t>opencage__geocoding_v1</t>
  </si>
  <si>
    <t>positionstack__forward_v1</t>
  </si>
  <si>
    <t>locationiq__search_v1</t>
  </si>
  <si>
    <t>https://api-reference.locationiq.com/</t>
  </si>
  <si>
    <t>geoapify__geocode_reverse_v1</t>
  </si>
  <si>
    <t>https://apidocs.geoapify.com/docs/geocoding/reverse-geocoding/</t>
  </si>
  <si>
    <t>tomtom__geocoding_v6</t>
  </si>
  <si>
    <t>https://developer.tomtom.com/geocoding-api/documentation/tomtom-orbis-maps/geocode</t>
  </si>
  <si>
    <t>bing__maps_locations_v1</t>
  </si>
  <si>
    <t>https://learn.microsoft.com/en-us/bingmaps/rest-services/locations/</t>
  </si>
  <si>
    <t>here__geocoder_v6</t>
  </si>
  <si>
    <t>https://geocoder.ls.hereapi.com</t>
  </si>
  <si>
    <t>https://www.here.com/docs/bundle/geocoder-api-developer-guide/page/topics/request-constructing.html</t>
  </si>
  <si>
    <t>radar__geocoding_forward_v1</t>
  </si>
  <si>
    <t>https://api.radar.io</t>
  </si>
  <si>
    <t>https://docs.radar.com/maps/geocoding</t>
  </si>
  <si>
    <t>OVERLAP GEMINI vs GPT</t>
  </si>
  <si>
    <t>OVERLAP GEMINI vs CLAUDE</t>
  </si>
  <si>
    <t>OVERLAP GEMINI vs DEEPSEEK</t>
  </si>
  <si>
    <t>OVERLAP GEMINI vs MISTRAL</t>
  </si>
  <si>
    <t>google_maps__geocoding_forward</t>
  </si>
  <si>
    <t>mapbox__geocoding_forward</t>
  </si>
  <si>
    <t>here__geocoding_forward</t>
  </si>
  <si>
    <t>opencage__geocoding_forward</t>
  </si>
  <si>
    <t>locationiq__geocoding_forward</t>
  </si>
  <si>
    <t>bing_maps__locations_query</t>
  </si>
  <si>
    <t>https://docs.microsoft.com/en-us/bingmaps/rest-services/locations/</t>
  </si>
  <si>
    <t>https://developer.tomtom.com/search-api/documentation/geocoding-service/geocode</t>
  </si>
  <si>
    <t>mapquest__geocoding_address</t>
  </si>
  <si>
    <t>geocodio__geocoding_forward</t>
  </si>
  <si>
    <t>smartystreets__us-street-address</t>
  </si>
  <si>
    <t>https://us-street.api.smartystreets.com</t>
  </si>
  <si>
    <t>https://www.smarty.com/docs/cloud/us-street-api</t>
  </si>
  <si>
    <t>OVERLAP DEEPSEEK vs GPT</t>
  </si>
  <si>
    <t>OVERLAP DEEPSEEK vs CLAUDE</t>
  </si>
  <si>
    <t>OVERLAP DEEPSEEK vs GEMINI</t>
  </si>
  <si>
    <t>OVERLAP DEEPSEEK vs MISTRAL</t>
  </si>
  <si>
    <t>google__geocoding_api</t>
  </si>
  <si>
    <t>https://maps.googleapis.com/maps/api/geocode</t>
  </si>
  <si>
    <t>opencage__geocoding_api</t>
  </si>
  <si>
    <t>https://api.opencagedata.com/geocode/v1</t>
  </si>
  <si>
    <t>mapbox__geocoding_api</t>
  </si>
  <si>
    <t>https://api.mapbox.com/geocoding/v5</t>
  </si>
  <si>
    <t>locationiq__geocoding_api</t>
  </si>
  <si>
    <t>https://us1.locationiq.com/v1</t>
  </si>
  <si>
    <t>https://docs.locationiq.com/docs/geocoding</t>
  </si>
  <si>
    <t>geoapify__geocoding_api</t>
  </si>
  <si>
    <t>https://api.geoapify.com/v1/geocode</t>
  </si>
  <si>
    <t>https://www.geoapify.com/geocoding-api</t>
  </si>
  <si>
    <t>here__geocoding_api</t>
  </si>
  <si>
    <t>https://geocoder.ls.hereapi.com/6.2</t>
  </si>
  <si>
    <t>https://developer.here.com/products/geocoding</t>
  </si>
  <si>
    <t>tomtom__geocoding_api</t>
  </si>
  <si>
    <t>https://api.tomtom.com/search/2</t>
  </si>
  <si>
    <t>https://developer.tomtom.com/search-api/search-api-documentation/geocode/geocode</t>
  </si>
  <si>
    <t>mapquest__geocoding_api</t>
  </si>
  <si>
    <t>http://www.mapquestapi.com/geocoding/v1</t>
  </si>
  <si>
    <t>positionstack__geocoding_api</t>
  </si>
  <si>
    <t>http://api.positionstack.com/v1</t>
  </si>
  <si>
    <t>geocode_maps__free_geocoding_api</t>
  </si>
  <si>
    <t>https://geocode.maps.co</t>
  </si>
  <si>
    <t>https://geocode.maps.co/</t>
  </si>
  <si>
    <t>OVERLAP MISTRAL vs GPT</t>
  </si>
  <si>
    <t>OVERLAP MISTRAL vs CLAUDE</t>
  </si>
  <si>
    <t>OVERLAP MISTRAL vs GEMINI</t>
  </si>
  <si>
    <t>OVERLAP MISTRAL vs DEEPSEEK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</si>
</sst>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000FF" tint="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2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worksheets/_rels/sheet3.xml.rels><?xml version="1.0" encoding="UTF-8" standalone="yes"?><Relationships xmlns="http://schemas.openxmlformats.org/package/2006/relationships"><Relationship Id="rId115" Type="http://schemas.openxmlformats.org/officeDocument/2006/relationships/hyperlink" Target="https://www.geocod.io/docs/" TargetMode="External"/><Relationship Id="rId114" Type="http://schemas.openxmlformats.org/officeDocument/2006/relationships/hyperlink" Target="https://api.geocod.io/" TargetMode="External"/><Relationship Id="rId113" Type="http://schemas.openxmlformats.org/officeDocument/2006/relationships/hyperlink" Target="https://locationiq.com/docs" TargetMode="External"/><Relationship Id="rId112" Type="http://schemas.openxmlformats.org/officeDocument/2006/relationships/hyperlink" Target="https://us1.locationiq.com/" TargetMode="External"/><Relationship Id="rId111" Type="http://schemas.openxmlformats.org/officeDocument/2006/relationships/hyperlink" Target="https://positionstack.com/documentation" TargetMode="External"/><Relationship Id="rId110" Type="http://schemas.openxmlformats.org/officeDocument/2006/relationships/hyperlink" Target="https://api.positionstack.com/" TargetMode="External"/><Relationship Id="rId109" Type="http://schemas.openxmlformats.org/officeDocument/2006/relationships/hyperlink" Target="https://docs.mapbox.com/api/search/geocoding/" TargetMode="External"/><Relationship Id="rId108" Type="http://schemas.openxmlformats.org/officeDocument/2006/relationships/hyperlink" Target="https://api.mapbox.com/" TargetMode="External"/><Relationship Id="rId107" Type="http://schemas.openxmlformats.org/officeDocument/2006/relationships/hyperlink" Target="https://developer.tomtom.com/search-api/documentation/geocoding-service" TargetMode="External"/><Relationship Id="rId106" Type="http://schemas.openxmlformats.org/officeDocument/2006/relationships/hyperlink" Target="https://api.tomtom.com/" TargetMode="External"/><Relationship Id="rId105" Type="http://schemas.openxmlformats.org/officeDocument/2006/relationships/hyperlink" Target="https://developer.here.com/documentation/geocoding-search-api/" TargetMode="External"/><Relationship Id="rId104" Type="http://schemas.openxmlformats.org/officeDocument/2006/relationships/hyperlink" Target="https://geocode.search.hereapi.com/" TargetMode="External"/><Relationship Id="rId103" Type="http://schemas.openxmlformats.org/officeDocument/2006/relationships/hyperlink" Target="https://developer.mapquest.com/documentation/geocoding-api/" TargetMode="External"/><Relationship Id="rId102" Type="http://schemas.openxmlformats.org/officeDocument/2006/relationships/hyperlink" Target="https://www.mapquestapi.com/" TargetMode="External"/><Relationship Id="rId101" Type="http://schemas.openxmlformats.org/officeDocument/2006/relationships/hyperlink" Target="https://learn.microsoft.com/bingmaps/rest-services/locations/" TargetMode="External"/><Relationship Id="rId100" Type="http://schemas.openxmlformats.org/officeDocument/2006/relationships/hyperlink" Target="https://dev.virtualearth.net/" TargetMode="External"/><Relationship Id="rId99" Type="http://schemas.openxmlformats.org/officeDocument/2006/relationships/hyperlink" Target="https://opencagedata.com/api" TargetMode="External"/><Relationship Id="rId98" Type="http://schemas.openxmlformats.org/officeDocument/2006/relationships/hyperlink" Target="https://api.opencagedata.com/" TargetMode="External"/><Relationship Id="rId97" Type="http://schemas.openxmlformats.org/officeDocument/2006/relationships/hyperlink" Target="https://developers.google.com/maps/documentation/geocoding/overview" TargetMode="External"/><Relationship Id="rId96" Type="http://schemas.openxmlformats.org/officeDocument/2006/relationships/hyperlink" Target="https://maps.googleapis.com/" TargetMode="External"/><Relationship Id="rId116" Type="http://schemas.openxmlformats.org/officeDocument/2006/relationships/hyperlink" Target="https://maps.googleapis.com/" TargetMode="External"/><Relationship Id="rId117" Type="http://schemas.openxmlformats.org/officeDocument/2006/relationships/hyperlink" Target="https://developers.google.com/maps/documentation/geocoding/overview" TargetMode="External"/><Relationship Id="rId118" Type="http://schemas.openxmlformats.org/officeDocument/2006/relationships/hyperlink" Target="https://api.opencagedata.com/" TargetMode="External"/><Relationship Id="rId119" Type="http://schemas.openxmlformats.org/officeDocument/2006/relationships/hyperlink" Target="https://opencagedata.com/api" TargetMode="External"/><Relationship Id="rId120" Type="http://schemas.openxmlformats.org/officeDocument/2006/relationships/hyperlink" Target="https://dev.virtualearth.net/" TargetMode="External"/><Relationship Id="rId121" Type="http://schemas.openxmlformats.org/officeDocument/2006/relationships/hyperlink" Target="https://learn.microsoft.com/bingmaps/rest-services/locations/" TargetMode="External"/><Relationship Id="rId122" Type="http://schemas.openxmlformats.org/officeDocument/2006/relationships/hyperlink" Target="https://www.mapquestapi.com/" TargetMode="External"/><Relationship Id="rId123" Type="http://schemas.openxmlformats.org/officeDocument/2006/relationships/hyperlink" Target="https://developer.mapquest.com/documentation/geocoding-api/" TargetMode="External"/><Relationship Id="rId124" Type="http://schemas.openxmlformats.org/officeDocument/2006/relationships/hyperlink" Target="https://geocode.search.hereapi.com/" TargetMode="External"/><Relationship Id="rId125" Type="http://schemas.openxmlformats.org/officeDocument/2006/relationships/hyperlink" Target="https://developer.here.com/documentation/geocoding-search-api/" TargetMode="External"/><Relationship Id="rId126" Type="http://schemas.openxmlformats.org/officeDocument/2006/relationships/hyperlink" Target="https://api.tomtom.com/" TargetMode="External"/><Relationship Id="rId127" Type="http://schemas.openxmlformats.org/officeDocument/2006/relationships/hyperlink" Target="https://developer.tomtom.com/search-api/documentation/geocoding-service" TargetMode="External"/><Relationship Id="rId128" Type="http://schemas.openxmlformats.org/officeDocument/2006/relationships/hyperlink" Target="https://api.mapbox.com/" TargetMode="External"/><Relationship Id="rId129" Type="http://schemas.openxmlformats.org/officeDocument/2006/relationships/hyperlink" Target="https://docs.mapbox.com/api/search/geocoding/" TargetMode="External"/><Relationship Id="rId130" Type="http://schemas.openxmlformats.org/officeDocument/2006/relationships/hyperlink" Target="https://api.positionstack.com/" TargetMode="External"/><Relationship Id="rId131" Type="http://schemas.openxmlformats.org/officeDocument/2006/relationships/hyperlink" Target="https://positionstack.com/documentation" TargetMode="External"/><Relationship Id="rId132" Type="http://schemas.openxmlformats.org/officeDocument/2006/relationships/hyperlink" Target="https://us1.locationiq.com/" TargetMode="External"/><Relationship Id="rId133" Type="http://schemas.openxmlformats.org/officeDocument/2006/relationships/hyperlink" Target="https://locationiq.com/docs" TargetMode="External"/><Relationship Id="rId134" Type="http://schemas.openxmlformats.org/officeDocument/2006/relationships/hyperlink" Target="https://api.geocod.io/" TargetMode="External"/><Relationship Id="rId135" Type="http://schemas.openxmlformats.org/officeDocument/2006/relationships/hyperlink" Target="https://www.geocod.io/docs/" TargetMode="External"/></Relationships>
</file>

<file path=xl/worksheets/_rels/sheet4.xml.rels><?xml version="1.0" encoding="UTF-8" standalone="yes"?><Relationships xmlns="http://schemas.openxmlformats.org/package/2006/relationships"><Relationship Id="rId77" Type="http://schemas.openxmlformats.org/officeDocument/2006/relationships/hyperlink" Target="https://maps.googleapis.com/maps/api" TargetMode="External"/><Relationship Id="rId78" Type="http://schemas.openxmlformats.org/officeDocument/2006/relationships/hyperlink" Target="https://developers.google.com/maps/documentation/geocoding/overview" TargetMode="External"/><Relationship Id="rId79" Type="http://schemas.openxmlformats.org/officeDocument/2006/relationships/hyperlink" Target="https://api.mapbox.com/" TargetMode="External"/><Relationship Id="rId80" Type="http://schemas.openxmlformats.org/officeDocument/2006/relationships/hyperlink" Target="https://docs.mapbox.com/api/search/geocoding/" TargetMode="External"/><Relationship Id="rId81" Type="http://schemas.openxmlformats.org/officeDocument/2006/relationships/hyperlink" Target="https://geocode.search.hereapi.com/" TargetMode="External"/><Relationship Id="rId82" Type="http://schemas.openxmlformats.org/officeDocument/2006/relationships/hyperlink" Target="https://developer.here.com/documentation/geocoding-search-api/dev_guide/index.html" TargetMode="External"/><Relationship Id="rId83" Type="http://schemas.openxmlformats.org/officeDocument/2006/relationships/hyperlink" Target="https://api.opencagedata.com/" TargetMode="External"/><Relationship Id="rId84" Type="http://schemas.openxmlformats.org/officeDocument/2006/relationships/hyperlink" Target="https://opencagedata.com/api" TargetMode="External"/><Relationship Id="rId85" Type="http://schemas.openxmlformats.org/officeDocument/2006/relationships/hyperlink" Target="https://api.positionstack.com/" TargetMode="External"/><Relationship Id="rId86" Type="http://schemas.openxmlformats.org/officeDocument/2006/relationships/hyperlink" Target="https://positionstack.com/documentation" TargetMode="External"/><Relationship Id="rId87" Type="http://schemas.openxmlformats.org/officeDocument/2006/relationships/hyperlink" Target="https://us1.locationiq.com/" TargetMode="External"/><Relationship Id="rId88" Type="http://schemas.openxmlformats.org/officeDocument/2006/relationships/hyperlink" Target="https://locationiq.com/docs" TargetMode="External"/><Relationship Id="rId89" Type="http://schemas.openxmlformats.org/officeDocument/2006/relationships/hyperlink" Target="https://api.geoapify.com/" TargetMode="External"/><Relationship Id="rId90" Type="http://schemas.openxmlformats.org/officeDocument/2006/relationships/hyperlink" Target="https://apidocs.geoapify.com/docs/geocoding/" TargetMode="External"/><Relationship Id="rId91" Type="http://schemas.openxmlformats.org/officeDocument/2006/relationships/hyperlink" Target="https://api.tomtom.com/" TargetMode="External"/><Relationship Id="rId92" Type="http://schemas.openxmlformats.org/officeDocument/2006/relationships/hyperlink" Target="https://developer.tomtom.com/search-api/documentation/geocoding/geocode" TargetMode="External"/><Relationship Id="rId93" Type="http://schemas.openxmlformats.org/officeDocument/2006/relationships/hyperlink" Target="https://atlas.microsoft.com/" TargetMode="External"/><Relationship Id="rId94" Type="http://schemas.openxmlformats.org/officeDocument/2006/relationships/hyperlink" Target="https://docs.microsoft.com/en-us/rest/api/maps/search" TargetMode="External"/><Relationship Id="rId95" Type="http://schemas.openxmlformats.org/officeDocument/2006/relationships/hyperlink" Target="https://api.geocod.io/" TargetMode="External"/><Relationship Id="rId96" Type="http://schemas.openxmlformats.org/officeDocument/2006/relationships/hyperlink" Target="https://www.geocod.io/docs/" TargetMode="External"/><Relationship Id="rId97" Type="http://schemas.openxmlformats.org/officeDocument/2006/relationships/hyperlink" Target="https://maps.googleapis.com/maps/api" TargetMode="External"/><Relationship Id="rId98" Type="http://schemas.openxmlformats.org/officeDocument/2006/relationships/hyperlink" Target="https://developers.google.com/maps/documentation/geocoding/overview" TargetMode="External"/><Relationship Id="rId99" Type="http://schemas.openxmlformats.org/officeDocument/2006/relationships/hyperlink" Target="https://api.mapbox.com/" TargetMode="External"/><Relationship Id="rId100" Type="http://schemas.openxmlformats.org/officeDocument/2006/relationships/hyperlink" Target="https://docs.mapbox.com/api/search/geocoding/" TargetMode="External"/><Relationship Id="rId101" Type="http://schemas.openxmlformats.org/officeDocument/2006/relationships/hyperlink" Target="https://geocode.search.hereapi.com/" TargetMode="External"/><Relationship Id="rId102" Type="http://schemas.openxmlformats.org/officeDocument/2006/relationships/hyperlink" Target="https://developer.here.com/documentation/geocoding-search-api/dev_guide/index.html" TargetMode="External"/><Relationship Id="rId103" Type="http://schemas.openxmlformats.org/officeDocument/2006/relationships/hyperlink" Target="https://api.opencagedata.com/" TargetMode="External"/><Relationship Id="rId104" Type="http://schemas.openxmlformats.org/officeDocument/2006/relationships/hyperlink" Target="https://opencagedata.com/api" TargetMode="External"/><Relationship Id="rId105" Type="http://schemas.openxmlformats.org/officeDocument/2006/relationships/hyperlink" Target="https://api.positionstack.com/" TargetMode="External"/><Relationship Id="rId106" Type="http://schemas.openxmlformats.org/officeDocument/2006/relationships/hyperlink" Target="https://positionstack.com/documentation" TargetMode="External"/><Relationship Id="rId107" Type="http://schemas.openxmlformats.org/officeDocument/2006/relationships/hyperlink" Target="https://us1.locationiq.com/" TargetMode="External"/><Relationship Id="rId108" Type="http://schemas.openxmlformats.org/officeDocument/2006/relationships/hyperlink" Target="https://locationiq.com/docs" TargetMode="External"/><Relationship Id="rId109" Type="http://schemas.openxmlformats.org/officeDocument/2006/relationships/hyperlink" Target="https://api.geoapify.com/" TargetMode="External"/><Relationship Id="rId110" Type="http://schemas.openxmlformats.org/officeDocument/2006/relationships/hyperlink" Target="https://apidocs.geoapify.com/docs/geocoding/" TargetMode="External"/><Relationship Id="rId111" Type="http://schemas.openxmlformats.org/officeDocument/2006/relationships/hyperlink" Target="https://api.tomtom.com/" TargetMode="External"/><Relationship Id="rId112" Type="http://schemas.openxmlformats.org/officeDocument/2006/relationships/hyperlink" Target="https://developer.tomtom.com/search-api/documentation/geocoding/geocode" TargetMode="External"/><Relationship Id="rId113" Type="http://schemas.openxmlformats.org/officeDocument/2006/relationships/hyperlink" Target="https://atlas.microsoft.com/" TargetMode="External"/><Relationship Id="rId114" Type="http://schemas.openxmlformats.org/officeDocument/2006/relationships/hyperlink" Target="https://docs.microsoft.com/en-us/rest/api/maps/search" TargetMode="External"/><Relationship Id="rId115" Type="http://schemas.openxmlformats.org/officeDocument/2006/relationships/hyperlink" Target="https://api.geocod.io/" TargetMode="External"/><Relationship Id="rId116" Type="http://schemas.openxmlformats.org/officeDocument/2006/relationships/hyperlink" Target="https://www.geocod.io/docs/" TargetMode="External"/></Relationships>
</file>

<file path=xl/worksheets/_rels/sheet5.xml.rels><?xml version="1.0" encoding="UTF-8" standalone="yes"?><Relationships xmlns="http://schemas.openxmlformats.org/package/2006/relationships"><Relationship Id="rId77" Type="http://schemas.openxmlformats.org/officeDocument/2006/relationships/hyperlink" Target="https://docs.radar.com/maps/geocoding" TargetMode="External"/><Relationship Id="rId76" Type="http://schemas.openxmlformats.org/officeDocument/2006/relationships/hyperlink" Target="https://api.radar.io/" TargetMode="External"/><Relationship Id="rId75" Type="http://schemas.openxmlformats.org/officeDocument/2006/relationships/hyperlink" Target="https://www.here.com/docs/bundle/geocoder-api-developer-guide/page/topics/request-constructing.html" TargetMode="External"/><Relationship Id="rId74" Type="http://schemas.openxmlformats.org/officeDocument/2006/relationships/hyperlink" Target="https://geocoder.ls.hereapi.com/" TargetMode="External"/><Relationship Id="rId73" Type="http://schemas.openxmlformats.org/officeDocument/2006/relationships/hyperlink" Target="https://learn.microsoft.com/en-us/bingmaps/rest-services/locations/" TargetMode="External"/><Relationship Id="rId72" Type="http://schemas.openxmlformats.org/officeDocument/2006/relationships/hyperlink" Target="https://dev.virtualearth.net/" TargetMode="External"/><Relationship Id="rId71" Type="http://schemas.openxmlformats.org/officeDocument/2006/relationships/hyperlink" Target="https://developer.tomtom.com/geocoding-api/documentation/tomtom-orbis-maps/geocode" TargetMode="External"/><Relationship Id="rId70" Type="http://schemas.openxmlformats.org/officeDocument/2006/relationships/hyperlink" Target="https://api.tomtom.com/" TargetMode="External"/><Relationship Id="rId69" Type="http://schemas.openxmlformats.org/officeDocument/2006/relationships/hyperlink" Target="https://apidocs.geoapify.com/docs/geocoding/reverse-geocoding/" TargetMode="External"/><Relationship Id="rId68" Type="http://schemas.openxmlformats.org/officeDocument/2006/relationships/hyperlink" Target="https://api.geoapify.com/" TargetMode="External"/><Relationship Id="rId67" Type="http://schemas.openxmlformats.org/officeDocument/2006/relationships/hyperlink" Target="https://api-reference.locationiq.com/" TargetMode="External"/><Relationship Id="rId66" Type="http://schemas.openxmlformats.org/officeDocument/2006/relationships/hyperlink" Target="https://us1.locationiq.com/" TargetMode="External"/><Relationship Id="rId65" Type="http://schemas.openxmlformats.org/officeDocument/2006/relationships/hyperlink" Target="https://positionstack.com/documentation" TargetMode="External"/><Relationship Id="rId64" Type="http://schemas.openxmlformats.org/officeDocument/2006/relationships/hyperlink" Target="https://api.positionstack.com/" TargetMode="External"/><Relationship Id="rId63" Type="http://schemas.openxmlformats.org/officeDocument/2006/relationships/hyperlink" Target="https://opencagedata.com/api" TargetMode="External"/><Relationship Id="rId62" Type="http://schemas.openxmlformats.org/officeDocument/2006/relationships/hyperlink" Target="https://api.opencagedata.com/" TargetMode="External"/><Relationship Id="rId61" Type="http://schemas.openxmlformats.org/officeDocument/2006/relationships/hyperlink" Target="https://docs.mapbox.com/api/search/geocoding-v5/" TargetMode="External"/><Relationship Id="rId60" Type="http://schemas.openxmlformats.org/officeDocument/2006/relationships/hyperlink" Target="https://api.mapbox.com/" TargetMode="External"/><Relationship Id="rId59" Type="http://schemas.openxmlformats.org/officeDocument/2006/relationships/hyperlink" Target="https://developers.google.com/maps/documentation/geocoding/requests-geocoding" TargetMode="External"/><Relationship Id="rId58" Type="http://schemas.openxmlformats.org/officeDocument/2006/relationships/hyperlink" Target="https://maps.googleapis.com/" TargetMode="External"/><Relationship Id="rId78" Type="http://schemas.openxmlformats.org/officeDocument/2006/relationships/hyperlink" Target="https://maps.googleapis.com/" TargetMode="External"/><Relationship Id="rId79" Type="http://schemas.openxmlformats.org/officeDocument/2006/relationships/hyperlink" Target="https://developers.google.com/maps/documentation/geocoding/requests-geocoding" TargetMode="External"/><Relationship Id="rId80" Type="http://schemas.openxmlformats.org/officeDocument/2006/relationships/hyperlink" Target="https://api.mapbox.com/" TargetMode="External"/><Relationship Id="rId81" Type="http://schemas.openxmlformats.org/officeDocument/2006/relationships/hyperlink" Target="https://docs.mapbox.com/api/search/geocoding-v5/" TargetMode="External"/><Relationship Id="rId82" Type="http://schemas.openxmlformats.org/officeDocument/2006/relationships/hyperlink" Target="https://api.opencagedata.com/" TargetMode="External"/><Relationship Id="rId83" Type="http://schemas.openxmlformats.org/officeDocument/2006/relationships/hyperlink" Target="https://opencagedata.com/api" TargetMode="External"/><Relationship Id="rId84" Type="http://schemas.openxmlformats.org/officeDocument/2006/relationships/hyperlink" Target="https://api.positionstack.com/" TargetMode="External"/><Relationship Id="rId85" Type="http://schemas.openxmlformats.org/officeDocument/2006/relationships/hyperlink" Target="https://positionstack.com/documentation" TargetMode="External"/><Relationship Id="rId86" Type="http://schemas.openxmlformats.org/officeDocument/2006/relationships/hyperlink" Target="https://us1.locationiq.com/" TargetMode="External"/><Relationship Id="rId87" Type="http://schemas.openxmlformats.org/officeDocument/2006/relationships/hyperlink" Target="https://api-reference.locationiq.com/" TargetMode="External"/><Relationship Id="rId88" Type="http://schemas.openxmlformats.org/officeDocument/2006/relationships/hyperlink" Target="https://api.geoapify.com/" TargetMode="External"/><Relationship Id="rId89" Type="http://schemas.openxmlformats.org/officeDocument/2006/relationships/hyperlink" Target="https://apidocs.geoapify.com/docs/geocoding/reverse-geocoding/" TargetMode="External"/><Relationship Id="rId90" Type="http://schemas.openxmlformats.org/officeDocument/2006/relationships/hyperlink" Target="https://api.tomtom.com/" TargetMode="External"/><Relationship Id="rId91" Type="http://schemas.openxmlformats.org/officeDocument/2006/relationships/hyperlink" Target="https://developer.tomtom.com/geocoding-api/documentation/tomtom-orbis-maps/geocode" TargetMode="External"/><Relationship Id="rId92" Type="http://schemas.openxmlformats.org/officeDocument/2006/relationships/hyperlink" Target="https://dev.virtualearth.net/" TargetMode="External"/><Relationship Id="rId93" Type="http://schemas.openxmlformats.org/officeDocument/2006/relationships/hyperlink" Target="https://learn.microsoft.com/en-us/bingmaps/rest-services/locations/" TargetMode="External"/><Relationship Id="rId94" Type="http://schemas.openxmlformats.org/officeDocument/2006/relationships/hyperlink" Target="https://geocoder.ls.hereapi.com/" TargetMode="External"/><Relationship Id="rId95" Type="http://schemas.openxmlformats.org/officeDocument/2006/relationships/hyperlink" Target="https://www.here.com/docs/bundle/geocoder-api-developer-guide/page/topics/request-constructing.html" TargetMode="External"/><Relationship Id="rId96" Type="http://schemas.openxmlformats.org/officeDocument/2006/relationships/hyperlink" Target="https://api.radar.io/" TargetMode="External"/><Relationship Id="rId97" Type="http://schemas.openxmlformats.org/officeDocument/2006/relationships/hyperlink" Target="https://docs.radar.com/maps/geocoding" TargetMode="External"/></Relationships>
</file>

<file path=xl/worksheets/_rels/sheet6.xml.rels><?xml version="1.0" encoding="UTF-8" standalone="yes"?><Relationships xmlns="http://schemas.openxmlformats.org/package/2006/relationships"><Relationship Id="rId39" Type="http://schemas.openxmlformats.org/officeDocument/2006/relationships/hyperlink" Target="https://maps.googleapis.com/" TargetMode="External"/><Relationship Id="rId40" Type="http://schemas.openxmlformats.org/officeDocument/2006/relationships/hyperlink" Target="https://developers.google.com/maps/documentation/geocoding/overview" TargetMode="External"/><Relationship Id="rId41" Type="http://schemas.openxmlformats.org/officeDocument/2006/relationships/hyperlink" Target="https://api.mapbox.com/" TargetMode="External"/><Relationship Id="rId42" Type="http://schemas.openxmlformats.org/officeDocument/2006/relationships/hyperlink" Target="https://docs.mapbox.com/api/search/geocoding/" TargetMode="External"/><Relationship Id="rId43" Type="http://schemas.openxmlformats.org/officeDocument/2006/relationships/hyperlink" Target="https://geocode.search.hereapi.com/" TargetMode="External"/><Relationship Id="rId44" Type="http://schemas.openxmlformats.org/officeDocument/2006/relationships/hyperlink" Target="https://developer.here.com/documentation/geocoding-search-api/dev_guide/index.html" TargetMode="External"/><Relationship Id="rId45" Type="http://schemas.openxmlformats.org/officeDocument/2006/relationships/hyperlink" Target="https://api.opencagedata.com/" TargetMode="External"/><Relationship Id="rId46" Type="http://schemas.openxmlformats.org/officeDocument/2006/relationships/hyperlink" Target="https://opencagedata.com/api" TargetMode="External"/><Relationship Id="rId47" Type="http://schemas.openxmlformats.org/officeDocument/2006/relationships/hyperlink" Target="https://us1.locationiq.com/" TargetMode="External"/><Relationship Id="rId48" Type="http://schemas.openxmlformats.org/officeDocument/2006/relationships/hyperlink" Target="https://locationiq.com/docs" TargetMode="External"/><Relationship Id="rId49" Type="http://schemas.openxmlformats.org/officeDocument/2006/relationships/hyperlink" Target="https://dev.virtualearth.net/" TargetMode="External"/><Relationship Id="rId50" Type="http://schemas.openxmlformats.org/officeDocument/2006/relationships/hyperlink" Target="https://docs.microsoft.com/en-us/bingmaps/rest-services/locations/" TargetMode="External"/><Relationship Id="rId51" Type="http://schemas.openxmlformats.org/officeDocument/2006/relationships/hyperlink" Target="https://api.tomtom.com/" TargetMode="External"/><Relationship Id="rId52" Type="http://schemas.openxmlformats.org/officeDocument/2006/relationships/hyperlink" Target="https://developer.tomtom.com/search-api/documentation/geocoding-service/geocode" TargetMode="External"/><Relationship Id="rId53" Type="http://schemas.openxmlformats.org/officeDocument/2006/relationships/hyperlink" Target="https://www.mapquestapi.com/" TargetMode="External"/><Relationship Id="rId54" Type="http://schemas.openxmlformats.org/officeDocument/2006/relationships/hyperlink" Target="https://developer.mapquest.com/documentation/geocoding-api/" TargetMode="External"/><Relationship Id="rId55" Type="http://schemas.openxmlformats.org/officeDocument/2006/relationships/hyperlink" Target="https://api.geocod.io/" TargetMode="External"/><Relationship Id="rId56" Type="http://schemas.openxmlformats.org/officeDocument/2006/relationships/hyperlink" Target="https://www.geocod.io/docs/" TargetMode="External"/><Relationship Id="rId57" Type="http://schemas.openxmlformats.org/officeDocument/2006/relationships/hyperlink" Target="https://us-street.api.smartystreets.com/" TargetMode="External"/><Relationship Id="rId58" Type="http://schemas.openxmlformats.org/officeDocument/2006/relationships/hyperlink" Target="https://www.smarty.com/docs/cloud/us-street-api" TargetMode="External"/><Relationship Id="rId59" Type="http://schemas.openxmlformats.org/officeDocument/2006/relationships/hyperlink" Target="https://maps.googleapis.com/" TargetMode="External"/><Relationship Id="rId60" Type="http://schemas.openxmlformats.org/officeDocument/2006/relationships/hyperlink" Target="https://developers.google.com/maps/documentation/geocoding/overview" TargetMode="External"/><Relationship Id="rId61" Type="http://schemas.openxmlformats.org/officeDocument/2006/relationships/hyperlink" Target="https://api.mapbox.com/" TargetMode="External"/><Relationship Id="rId62" Type="http://schemas.openxmlformats.org/officeDocument/2006/relationships/hyperlink" Target="https://docs.mapbox.com/api/search/geocoding/" TargetMode="External"/><Relationship Id="rId63" Type="http://schemas.openxmlformats.org/officeDocument/2006/relationships/hyperlink" Target="https://geocode.search.hereapi.com/" TargetMode="External"/><Relationship Id="rId64" Type="http://schemas.openxmlformats.org/officeDocument/2006/relationships/hyperlink" Target="https://developer.here.com/documentation/geocoding-search-api/dev_guide/index.html" TargetMode="External"/><Relationship Id="rId65" Type="http://schemas.openxmlformats.org/officeDocument/2006/relationships/hyperlink" Target="https://api.opencagedata.com/" TargetMode="External"/><Relationship Id="rId66" Type="http://schemas.openxmlformats.org/officeDocument/2006/relationships/hyperlink" Target="https://opencagedata.com/api" TargetMode="External"/><Relationship Id="rId67" Type="http://schemas.openxmlformats.org/officeDocument/2006/relationships/hyperlink" Target="https://us1.locationiq.com/" TargetMode="External"/><Relationship Id="rId68" Type="http://schemas.openxmlformats.org/officeDocument/2006/relationships/hyperlink" Target="https://locationiq.com/docs" TargetMode="External"/><Relationship Id="rId69" Type="http://schemas.openxmlformats.org/officeDocument/2006/relationships/hyperlink" Target="https://dev.virtualearth.net/" TargetMode="External"/><Relationship Id="rId70" Type="http://schemas.openxmlformats.org/officeDocument/2006/relationships/hyperlink" Target="https://docs.microsoft.com/en-us/bingmaps/rest-services/locations/" TargetMode="External"/><Relationship Id="rId71" Type="http://schemas.openxmlformats.org/officeDocument/2006/relationships/hyperlink" Target="https://api.tomtom.com/" TargetMode="External"/><Relationship Id="rId72" Type="http://schemas.openxmlformats.org/officeDocument/2006/relationships/hyperlink" Target="https://developer.tomtom.com/search-api/documentation/geocoding-service/geocode" TargetMode="External"/><Relationship Id="rId73" Type="http://schemas.openxmlformats.org/officeDocument/2006/relationships/hyperlink" Target="https://www.mapquestapi.com/" TargetMode="External"/><Relationship Id="rId74" Type="http://schemas.openxmlformats.org/officeDocument/2006/relationships/hyperlink" Target="https://developer.mapquest.com/documentation/geocoding-api/" TargetMode="External"/><Relationship Id="rId75" Type="http://schemas.openxmlformats.org/officeDocument/2006/relationships/hyperlink" Target="https://api.geocod.io/" TargetMode="External"/><Relationship Id="rId76" Type="http://schemas.openxmlformats.org/officeDocument/2006/relationships/hyperlink" Target="https://www.geocod.io/docs/" TargetMode="External"/><Relationship Id="rId77" Type="http://schemas.openxmlformats.org/officeDocument/2006/relationships/hyperlink" Target="https://us-street.api.smartystreets.com/" TargetMode="External"/><Relationship Id="rId78" Type="http://schemas.openxmlformats.org/officeDocument/2006/relationships/hyperlink" Target="https://www.smarty.com/docs/cloud/us-street-api" TargetMode="External"/></Relationships>
</file>

<file path=xl/worksheets/_rels/sheet7.xml.rels><?xml version="1.0" encoding="UTF-8" standalone="yes"?><Relationships xmlns="http://schemas.openxmlformats.org/package/2006/relationships"><Relationship Id="rId39" Type="http://schemas.openxmlformats.org/officeDocument/2006/relationships/hyperlink" Target="https://geocode.maps.co/" TargetMode="External"/><Relationship Id="rId38" Type="http://schemas.openxmlformats.org/officeDocument/2006/relationships/hyperlink" Target="https://geocode.maps.co/" TargetMode="External"/><Relationship Id="rId37" Type="http://schemas.openxmlformats.org/officeDocument/2006/relationships/hyperlink" Target="https://positionstack.com/documentation" TargetMode="External"/><Relationship Id="rId36" Type="http://schemas.openxmlformats.org/officeDocument/2006/relationships/hyperlink" Target="http://api.positionstack.com/v1" TargetMode="External"/><Relationship Id="rId35" Type="http://schemas.openxmlformats.org/officeDocument/2006/relationships/hyperlink" Target="https://developer.mapquest.com/documentation/geocoding-api/" TargetMode="External"/><Relationship Id="rId34" Type="http://schemas.openxmlformats.org/officeDocument/2006/relationships/hyperlink" Target="http://www.mapquestapi.com/geocoding/v1" TargetMode="External"/><Relationship Id="rId33" Type="http://schemas.openxmlformats.org/officeDocument/2006/relationships/hyperlink" Target="https://developer.tomtom.com/search-api/search-api-documentation/geocode/geocode" TargetMode="External"/><Relationship Id="rId32" Type="http://schemas.openxmlformats.org/officeDocument/2006/relationships/hyperlink" Target="https://api.tomtom.com/search/2" TargetMode="External"/><Relationship Id="rId31" Type="http://schemas.openxmlformats.org/officeDocument/2006/relationships/hyperlink" Target="https://developer.here.com/products/geocoding" TargetMode="External"/><Relationship Id="rId30" Type="http://schemas.openxmlformats.org/officeDocument/2006/relationships/hyperlink" Target="https://geocoder.ls.hereapi.com/6.2" TargetMode="External"/><Relationship Id="rId29" Type="http://schemas.openxmlformats.org/officeDocument/2006/relationships/hyperlink" Target="https://www.geoapify.com/geocoding-api" TargetMode="External"/><Relationship Id="rId28" Type="http://schemas.openxmlformats.org/officeDocument/2006/relationships/hyperlink" Target="https://api.geoapify.com/v1/geocode" TargetMode="External"/><Relationship Id="rId27" Type="http://schemas.openxmlformats.org/officeDocument/2006/relationships/hyperlink" Target="https://docs.locationiq.com/docs/geocoding" TargetMode="External"/><Relationship Id="rId26" Type="http://schemas.openxmlformats.org/officeDocument/2006/relationships/hyperlink" Target="https://us1.locationiq.com/v1" TargetMode="External"/><Relationship Id="rId25" Type="http://schemas.openxmlformats.org/officeDocument/2006/relationships/hyperlink" Target="https://docs.mapbox.com/api/search/geocoding/" TargetMode="External"/><Relationship Id="rId24" Type="http://schemas.openxmlformats.org/officeDocument/2006/relationships/hyperlink" Target="https://api.mapbox.com/geocoding/v5" TargetMode="External"/><Relationship Id="rId23" Type="http://schemas.openxmlformats.org/officeDocument/2006/relationships/hyperlink" Target="https://opencagedata.com/api" TargetMode="External"/><Relationship Id="rId22" Type="http://schemas.openxmlformats.org/officeDocument/2006/relationships/hyperlink" Target="https://api.opencagedata.com/geocode/v1" TargetMode="External"/><Relationship Id="rId21" Type="http://schemas.openxmlformats.org/officeDocument/2006/relationships/hyperlink" Target="https://developers.google.com/maps/documentation/geocoding/overview" TargetMode="External"/><Relationship Id="rId20" Type="http://schemas.openxmlformats.org/officeDocument/2006/relationships/hyperlink" Target="https://maps.googleapis.com/maps/api/geocode" TargetMode="External"/><Relationship Id="rId40" Type="http://schemas.openxmlformats.org/officeDocument/2006/relationships/hyperlink" Target="https://maps.googleapis.com/maps/api/geocode" TargetMode="External"/><Relationship Id="rId41" Type="http://schemas.openxmlformats.org/officeDocument/2006/relationships/hyperlink" Target="https://developers.google.com/maps/documentation/geocoding/overview" TargetMode="External"/><Relationship Id="rId42" Type="http://schemas.openxmlformats.org/officeDocument/2006/relationships/hyperlink" Target="https://api.opencagedata.com/geocode/v1" TargetMode="External"/><Relationship Id="rId43" Type="http://schemas.openxmlformats.org/officeDocument/2006/relationships/hyperlink" Target="https://opencagedata.com/api" TargetMode="External"/><Relationship Id="rId44" Type="http://schemas.openxmlformats.org/officeDocument/2006/relationships/hyperlink" Target="https://api.mapbox.com/geocoding/v5" TargetMode="External"/><Relationship Id="rId45" Type="http://schemas.openxmlformats.org/officeDocument/2006/relationships/hyperlink" Target="https://docs.mapbox.com/api/search/geocoding/" TargetMode="External"/><Relationship Id="rId46" Type="http://schemas.openxmlformats.org/officeDocument/2006/relationships/hyperlink" Target="https://us1.locationiq.com/v1" TargetMode="External"/><Relationship Id="rId47" Type="http://schemas.openxmlformats.org/officeDocument/2006/relationships/hyperlink" Target="https://docs.locationiq.com/docs/geocoding" TargetMode="External"/><Relationship Id="rId48" Type="http://schemas.openxmlformats.org/officeDocument/2006/relationships/hyperlink" Target="https://api.geoapify.com/v1/geocode" TargetMode="External"/><Relationship Id="rId49" Type="http://schemas.openxmlformats.org/officeDocument/2006/relationships/hyperlink" Target="https://www.geoapify.com/geocoding-api" TargetMode="External"/><Relationship Id="rId50" Type="http://schemas.openxmlformats.org/officeDocument/2006/relationships/hyperlink" Target="https://geocoder.ls.hereapi.com/6.2" TargetMode="External"/><Relationship Id="rId51" Type="http://schemas.openxmlformats.org/officeDocument/2006/relationships/hyperlink" Target="https://developer.here.com/products/geocoding" TargetMode="External"/><Relationship Id="rId52" Type="http://schemas.openxmlformats.org/officeDocument/2006/relationships/hyperlink" Target="https://api.tomtom.com/search/2" TargetMode="External"/><Relationship Id="rId53" Type="http://schemas.openxmlformats.org/officeDocument/2006/relationships/hyperlink" Target="https://developer.tomtom.com/search-api/search-api-documentation/geocode/geocode" TargetMode="External"/><Relationship Id="rId54" Type="http://schemas.openxmlformats.org/officeDocument/2006/relationships/hyperlink" Target="http://www.mapquestapi.com/geocoding/v1" TargetMode="External"/><Relationship Id="rId55" Type="http://schemas.openxmlformats.org/officeDocument/2006/relationships/hyperlink" Target="https://developer.mapquest.com/documentation/geocoding-api/" TargetMode="External"/><Relationship Id="rId56" Type="http://schemas.openxmlformats.org/officeDocument/2006/relationships/hyperlink" Target="http://api.positionstack.com/v1" TargetMode="External"/><Relationship Id="rId57" Type="http://schemas.openxmlformats.org/officeDocument/2006/relationships/hyperlink" Target="https://positionstack.com/documentation" TargetMode="External"/><Relationship Id="rId58" Type="http://schemas.openxmlformats.org/officeDocument/2006/relationships/hyperlink" Target="https://geocode.maps.co/" TargetMode="External"/><Relationship Id="rId59" Type="http://schemas.openxmlformats.org/officeDocument/2006/relationships/hyperlink" Target="https://geocode.maps.co/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1"/>
  <sheetViews>
    <sheetView workbookViewId="0"/>
  </sheetViews>
  <sheetFormatPr defaultRowHeight="15"/>
  <cols>
    <col min="1" max="1" width="9.140625" customWidth="1"/>
    <col min="2" max="2" width="44.818286895752" customWidth="1"/>
    <col min="3" max="3" width="30.2191486358643" customWidth="1"/>
    <col min="4" max="4" width="26.2650012969971" customWidth="1"/>
    <col min="5" max="5" width="30.0585269927979" customWidth="1"/>
    <col min="6" max="6" width="34.7850875854492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 t="s">
        <v>6</v>
      </c>
      <c r="C2" s="0" t="s">
        <v>7</v>
      </c>
      <c r="D2" s="0" t="s">
        <v>7</v>
      </c>
      <c r="E2" s="0" t="s">
        <v>7</v>
      </c>
      <c r="F2" s="0" t="s">
        <v>7</v>
      </c>
    </row>
    <row r="3">
      <c r="A3" s="0">
        <v>2</v>
      </c>
      <c r="B3" s="0" t="s">
        <v>8</v>
      </c>
      <c r="C3" s="0" t="s">
        <v>9</v>
      </c>
      <c r="D3" s="0" t="s">
        <v>9</v>
      </c>
      <c r="E3" s="0" t="s">
        <v>9</v>
      </c>
      <c r="F3" s="0" t="s">
        <v>10</v>
      </c>
    </row>
    <row r="4">
      <c r="A4" s="0">
        <v>3</v>
      </c>
      <c r="B4" s="0" t="s">
        <v>11</v>
      </c>
      <c r="C4" s="0" t="s">
        <v>12</v>
      </c>
      <c r="D4" s="0" t="s">
        <v>10</v>
      </c>
      <c r="E4" s="0" t="s">
        <v>13</v>
      </c>
      <c r="F4" s="0" t="s">
        <v>9</v>
      </c>
    </row>
    <row r="5">
      <c r="A5" s="0">
        <v>4</v>
      </c>
      <c r="B5" s="0" t="s">
        <v>14</v>
      </c>
      <c r="C5" s="0" t="s">
        <v>10</v>
      </c>
      <c r="D5" s="0" t="s">
        <v>15</v>
      </c>
      <c r="E5" s="0" t="s">
        <v>10</v>
      </c>
      <c r="F5" s="0" t="s">
        <v>16</v>
      </c>
    </row>
    <row r="6">
      <c r="A6" s="0">
        <v>5</v>
      </c>
      <c r="B6" s="0" t="s">
        <v>17</v>
      </c>
      <c r="C6" s="0" t="s">
        <v>18</v>
      </c>
      <c r="D6" s="0" t="s">
        <v>19</v>
      </c>
      <c r="E6" s="0" t="s">
        <v>16</v>
      </c>
      <c r="F6" s="0" t="s">
        <v>20</v>
      </c>
    </row>
    <row r="7">
      <c r="A7" s="0">
        <v>6</v>
      </c>
      <c r="B7" s="0" t="s">
        <v>21</v>
      </c>
      <c r="C7" s="0" t="s">
        <v>16</v>
      </c>
      <c r="D7" s="0" t="s">
        <v>22</v>
      </c>
      <c r="E7" s="0" t="s">
        <v>23</v>
      </c>
      <c r="F7" s="0" t="s">
        <v>24</v>
      </c>
    </row>
    <row r="8">
      <c r="A8" s="0">
        <v>7</v>
      </c>
      <c r="B8" s="0" t="s">
        <v>9</v>
      </c>
      <c r="C8" s="0" t="s">
        <v>20</v>
      </c>
      <c r="D8" s="0" t="s">
        <v>25</v>
      </c>
      <c r="E8" s="0" t="s">
        <v>26</v>
      </c>
      <c r="F8" s="0" t="s">
        <v>25</v>
      </c>
    </row>
    <row r="9">
      <c r="A9" s="0">
        <v>8</v>
      </c>
      <c r="B9" s="0" t="s">
        <v>27</v>
      </c>
      <c r="C9" s="0" t="s">
        <v>28</v>
      </c>
      <c r="D9" s="0" t="s">
        <v>23</v>
      </c>
      <c r="E9" s="0" t="s">
        <v>14</v>
      </c>
      <c r="F9" s="0" t="s">
        <v>14</v>
      </c>
    </row>
    <row r="10">
      <c r="A10" s="0">
        <v>9</v>
      </c>
      <c r="B10" s="0" t="s">
        <v>29</v>
      </c>
      <c r="C10" s="0" t="s">
        <v>30</v>
      </c>
      <c r="D10" s="0" t="s">
        <v>31</v>
      </c>
      <c r="E10" s="0" t="s">
        <v>32</v>
      </c>
      <c r="F10" s="0" t="s">
        <v>33</v>
      </c>
    </row>
    <row r="11">
      <c r="A11" s="0">
        <v>10</v>
      </c>
      <c r="B11" s="0" t="s">
        <v>34</v>
      </c>
      <c r="C11" s="0" t="s">
        <v>35</v>
      </c>
      <c r="D11" s="0" t="s">
        <v>36</v>
      </c>
      <c r="E11" s="0" t="s">
        <v>37</v>
      </c>
      <c r="F11" s="0" t="s">
        <v>38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11"/>
  <sheetViews>
    <sheetView workbookViewId="0"/>
  </sheetViews>
  <sheetFormatPr defaultRowHeight="15"/>
  <cols>
    <col min="1" max="1" width="9.140625" customWidth="1"/>
    <col min="2" max="2" width="16.3913974761963" customWidth="1"/>
    <col min="3" max="3" width="12.6398162841797" customWidth="1"/>
    <col min="4" max="4" width="13.3917694091797" customWidth="1"/>
    <col min="5" max="5" width="16.3913974761963" customWidth="1"/>
    <col min="6" max="6" width="16.3913974761963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 t="s">
        <v>39</v>
      </c>
      <c r="C2" s="0" t="s">
        <v>39</v>
      </c>
      <c r="D2" s="0" t="s">
        <v>39</v>
      </c>
      <c r="E2" s="0" t="s">
        <v>39</v>
      </c>
      <c r="F2" s="0" t="s">
        <v>39</v>
      </c>
    </row>
    <row r="3">
      <c r="A3" s="0">
        <v>2</v>
      </c>
      <c r="B3" s="0" t="s">
        <v>40</v>
      </c>
      <c r="C3" s="0" t="s">
        <v>40</v>
      </c>
      <c r="D3" s="0" t="s">
        <v>40</v>
      </c>
      <c r="E3" s="0" t="s">
        <v>40</v>
      </c>
      <c r="F3" s="0" t="s">
        <v>40</v>
      </c>
    </row>
    <row r="4">
      <c r="A4" s="0">
        <v>3</v>
      </c>
      <c r="B4" s="0" t="s">
        <v>41</v>
      </c>
      <c r="C4" s="0" t="s">
        <v>42</v>
      </c>
      <c r="D4" s="0" t="s">
        <v>40</v>
      </c>
      <c r="E4" s="0" t="s">
        <v>42</v>
      </c>
      <c r="F4" s="0" t="s">
        <v>40</v>
      </c>
    </row>
    <row r="5">
      <c r="A5" s="0">
        <v>4</v>
      </c>
      <c r="B5" s="0" t="s">
        <v>43</v>
      </c>
      <c r="C5" s="0" t="s">
        <v>40</v>
      </c>
      <c r="D5" s="0" t="s">
        <v>40</v>
      </c>
      <c r="E5" s="0" t="s">
        <v>40</v>
      </c>
      <c r="F5" s="0" t="s">
        <v>44</v>
      </c>
    </row>
    <row r="6">
      <c r="A6" s="0">
        <v>5</v>
      </c>
      <c r="B6" s="0" t="s">
        <v>42</v>
      </c>
      <c r="C6" s="0" t="s">
        <v>40</v>
      </c>
      <c r="D6" s="0" t="s">
        <v>44</v>
      </c>
      <c r="E6" s="0" t="s">
        <v>44</v>
      </c>
      <c r="F6" s="0" t="s">
        <v>40</v>
      </c>
    </row>
    <row r="7">
      <c r="A7" s="0">
        <v>6</v>
      </c>
      <c r="B7" s="0" t="s">
        <v>40</v>
      </c>
      <c r="C7" s="0" t="s">
        <v>44</v>
      </c>
      <c r="D7" s="0" t="s">
        <v>40</v>
      </c>
      <c r="E7" s="0" t="s">
        <v>41</v>
      </c>
      <c r="F7" s="0" t="s">
        <v>45</v>
      </c>
    </row>
    <row r="8">
      <c r="A8" s="0">
        <v>7</v>
      </c>
      <c r="B8" s="0" t="s">
        <v>40</v>
      </c>
      <c r="C8" s="0" t="s">
        <v>40</v>
      </c>
      <c r="D8" s="0" t="s">
        <v>40</v>
      </c>
      <c r="E8" s="0" t="s">
        <v>40</v>
      </c>
      <c r="F8" s="0" t="s">
        <v>40</v>
      </c>
    </row>
    <row r="9">
      <c r="A9" s="0">
        <v>8</v>
      </c>
      <c r="B9" s="0" t="s">
        <v>40</v>
      </c>
      <c r="C9" s="0" t="s">
        <v>40</v>
      </c>
      <c r="D9" s="0" t="s">
        <v>41</v>
      </c>
      <c r="E9" s="0" t="s">
        <v>43</v>
      </c>
      <c r="F9" s="0" t="s">
        <v>43</v>
      </c>
    </row>
    <row r="10">
      <c r="A10" s="0">
        <v>9</v>
      </c>
      <c r="B10" s="0" t="s">
        <v>44</v>
      </c>
      <c r="C10" s="0" t="s">
        <v>46</v>
      </c>
      <c r="D10" s="0" t="s">
        <v>45</v>
      </c>
      <c r="E10" s="0" t="s">
        <v>40</v>
      </c>
      <c r="F10" s="0" t="s">
        <v>40</v>
      </c>
    </row>
    <row r="11">
      <c r="A11" s="0">
        <v>10</v>
      </c>
      <c r="B11" s="0" t="s">
        <v>40</v>
      </c>
      <c r="C11" s="0" t="s">
        <v>40</v>
      </c>
      <c r="D11" s="0" t="s">
        <v>40</v>
      </c>
      <c r="E11" s="0" t="s">
        <v>47</v>
      </c>
      <c r="F11" s="0" t="s">
        <v>42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16.3913974761963" customWidth="1"/>
    <col min="2" max="2" width="39.919849395752" customWidth="1"/>
    <col min="3" max="3" width="33.5563888549805" customWidth="1"/>
    <col min="4" max="4" width="70.0122909545898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44.818286895752" customWidth="1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  <c r="K1" s="0" t="s">
        <v>58</v>
      </c>
      <c r="L1" s="0" t="s">
        <v>59</v>
      </c>
      <c r="M1" s="0" t="s">
        <v>60</v>
      </c>
      <c r="N1" s="0" t="s">
        <v>61</v>
      </c>
    </row>
    <row r="2">
      <c r="A2" s="0" t="s">
        <v>39</v>
      </c>
      <c r="B2" s="0" t="s">
        <v>62</v>
      </c>
      <c r="C2" s="1" t="s">
        <v>63</v>
      </c>
      <c r="D2" s="1" t="s">
        <v>64</v>
      </c>
      <c r="E2" s="0">
        <v>400</v>
      </c>
      <c r="F2" s="0">
        <v>26</v>
      </c>
      <c r="G2" s="0">
        <v>166</v>
      </c>
      <c r="H2" s="0">
        <v>1</v>
      </c>
      <c r="I2" s="0">
        <v>100</v>
      </c>
      <c r="J2" s="0">
        <v>0.345</v>
      </c>
      <c r="K2" s="0">
        <v>0.6</v>
      </c>
      <c r="L2" s="0">
        <v>0.25</v>
      </c>
      <c r="M2" s="0">
        <v>0</v>
      </c>
      <c r="N2" s="0" t="s">
        <v>6</v>
      </c>
    </row>
    <row r="3">
      <c r="A3" s="0" t="s">
        <v>40</v>
      </c>
      <c r="B3" s="0" t="s">
        <v>65</v>
      </c>
      <c r="C3" s="1" t="s">
        <v>66</v>
      </c>
      <c r="D3" s="1" t="s">
        <v>67</v>
      </c>
      <c r="E3" s="0">
        <v>401</v>
      </c>
      <c r="F3" s="0">
        <v>188</v>
      </c>
      <c r="G3" s="0">
        <v>-1</v>
      </c>
      <c r="H3" s="0">
        <v>2</v>
      </c>
      <c r="I3" s="0">
        <v>98.5</v>
      </c>
      <c r="J3" s="0">
        <v>0.435</v>
      </c>
      <c r="K3" s="0">
        <v>0.8</v>
      </c>
      <c r="L3" s="0">
        <v>0.25</v>
      </c>
      <c r="M3" s="0">
        <v>0</v>
      </c>
      <c r="N3" s="0" t="s">
        <v>8</v>
      </c>
    </row>
    <row r="4">
      <c r="A4" s="0" t="s">
        <v>41</v>
      </c>
      <c r="B4" s="0" t="s">
        <v>68</v>
      </c>
      <c r="C4" s="1" t="s">
        <v>69</v>
      </c>
      <c r="D4" s="1" t="s">
        <v>70</v>
      </c>
      <c r="E4" s="0">
        <v>401</v>
      </c>
      <c r="F4" s="0">
        <v>25</v>
      </c>
      <c r="G4" s="0">
        <v>654</v>
      </c>
      <c r="H4" s="0">
        <v>3</v>
      </c>
      <c r="I4" s="0">
        <v>96</v>
      </c>
      <c r="J4" s="0">
        <v>0.435</v>
      </c>
      <c r="K4" s="0">
        <v>0.8</v>
      </c>
      <c r="L4" s="0">
        <v>0.25</v>
      </c>
      <c r="M4" s="0">
        <v>0</v>
      </c>
      <c r="N4" s="0" t="s">
        <v>11</v>
      </c>
    </row>
    <row r="5">
      <c r="A5" s="0" t="s">
        <v>43</v>
      </c>
      <c r="B5" s="0" t="s">
        <v>71</v>
      </c>
      <c r="C5" s="1" t="s">
        <v>72</v>
      </c>
      <c r="D5" s="1" t="s">
        <v>73</v>
      </c>
      <c r="E5" s="0">
        <v>401</v>
      </c>
      <c r="F5" s="0">
        <v>26</v>
      </c>
      <c r="G5" s="0">
        <v>50</v>
      </c>
      <c r="H5" s="0">
        <v>4</v>
      </c>
      <c r="I5" s="0">
        <v>93.5</v>
      </c>
      <c r="J5" s="0">
        <v>0.435</v>
      </c>
      <c r="K5" s="0">
        <v>0.8</v>
      </c>
      <c r="L5" s="0">
        <v>0.25</v>
      </c>
      <c r="M5" s="0">
        <v>0</v>
      </c>
      <c r="N5" s="0" t="s">
        <v>14</v>
      </c>
    </row>
    <row r="6">
      <c r="A6" s="0" t="s">
        <v>42</v>
      </c>
      <c r="B6" s="0" t="s">
        <v>74</v>
      </c>
      <c r="C6" s="1" t="s">
        <v>75</v>
      </c>
      <c r="D6" s="1" t="s">
        <v>76</v>
      </c>
      <c r="E6" s="0">
        <v>401</v>
      </c>
      <c r="F6" s="0">
        <v>26</v>
      </c>
      <c r="G6" s="0">
        <v>68</v>
      </c>
      <c r="H6" s="0">
        <v>5</v>
      </c>
      <c r="I6" s="0">
        <v>91</v>
      </c>
      <c r="J6" s="0">
        <v>0.363</v>
      </c>
      <c r="K6" s="0">
        <v>0.64</v>
      </c>
      <c r="L6" s="0">
        <v>0.25</v>
      </c>
      <c r="M6" s="0">
        <v>0</v>
      </c>
      <c r="N6" s="0" t="s">
        <v>17</v>
      </c>
    </row>
    <row r="7">
      <c r="A7" s="0" t="s">
        <v>40</v>
      </c>
      <c r="B7" s="0" t="s">
        <v>77</v>
      </c>
      <c r="C7" s="1" t="s">
        <v>78</v>
      </c>
      <c r="D7" s="1" t="s">
        <v>79</v>
      </c>
      <c r="E7" s="0">
        <v>403</v>
      </c>
      <c r="F7" s="0">
        <v>30</v>
      </c>
      <c r="G7" s="0">
        <v>94</v>
      </c>
      <c r="H7" s="0">
        <v>6</v>
      </c>
      <c r="I7" s="0">
        <v>88.5</v>
      </c>
      <c r="J7" s="0">
        <v>0.435</v>
      </c>
      <c r="K7" s="0">
        <v>0.8</v>
      </c>
      <c r="L7" s="0">
        <v>0.25</v>
      </c>
      <c r="M7" s="0">
        <v>0</v>
      </c>
      <c r="N7" s="0" t="s">
        <v>21</v>
      </c>
    </row>
    <row r="8">
      <c r="A8" s="0" t="s">
        <v>40</v>
      </c>
      <c r="B8" s="0" t="s">
        <v>80</v>
      </c>
      <c r="C8" s="1" t="s">
        <v>81</v>
      </c>
      <c r="D8" s="1" t="s">
        <v>82</v>
      </c>
      <c r="H8" s="0">
        <v>7</v>
      </c>
      <c r="I8" s="0">
        <v>86</v>
      </c>
      <c r="N8" s="0" t="s">
        <v>9</v>
      </c>
    </row>
    <row r="9">
      <c r="A9" s="0" t="s">
        <v>40</v>
      </c>
      <c r="B9" s="0" t="s">
        <v>83</v>
      </c>
      <c r="C9" s="1" t="s">
        <v>84</v>
      </c>
      <c r="D9" s="1" t="s">
        <v>85</v>
      </c>
      <c r="H9" s="0">
        <v>8</v>
      </c>
      <c r="I9" s="0">
        <v>84</v>
      </c>
      <c r="N9" s="0" t="s">
        <v>27</v>
      </c>
    </row>
    <row r="10">
      <c r="A10" s="0" t="s">
        <v>44</v>
      </c>
      <c r="B10" s="0" t="s">
        <v>86</v>
      </c>
      <c r="C10" s="1" t="s">
        <v>87</v>
      </c>
      <c r="D10" s="1" t="s">
        <v>88</v>
      </c>
      <c r="H10" s="0">
        <v>9</v>
      </c>
      <c r="I10" s="0">
        <v>82</v>
      </c>
      <c r="N10" s="0" t="s">
        <v>29</v>
      </c>
    </row>
    <row r="11">
      <c r="A11" s="0" t="s">
        <v>40</v>
      </c>
      <c r="B11" s="0" t="s">
        <v>89</v>
      </c>
      <c r="C11" s="1" t="s">
        <v>90</v>
      </c>
      <c r="D11" s="1" t="s">
        <v>91</v>
      </c>
      <c r="H11" s="0">
        <v>10</v>
      </c>
      <c r="I11" s="0">
        <v>80</v>
      </c>
      <c r="N11" s="0" t="s">
        <v>34</v>
      </c>
    </row>
    <row r="13">
      <c r="A13" s="6" t="s">
        <v>92</v>
      </c>
    </row>
    <row r="14">
      <c r="A14" s="6" t="s">
        <v>93</v>
      </c>
      <c r="B14" s="6" t="s">
        <v>94</v>
      </c>
      <c r="C14" s="6" t="s">
        <v>95</v>
      </c>
      <c r="D14" s="6" t="s">
        <v>0</v>
      </c>
      <c r="E14" s="6" t="s">
        <v>96</v>
      </c>
      <c r="F14" s="6" t="s">
        <v>97</v>
      </c>
    </row>
    <row r="15">
      <c r="B15" s="0">
        <f>=IFERROR(INDEX('CLEAN'!$B$2:$B$9999,1),"")</f>
      </c>
      <c r="C15" s="0">
        <f>=IFERROR(INDEX('CLEAN'!$C$2:$C$9999,1),"")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=IFERROR(INDEX('CLEAN'!$B$2:$B$9999,2),"")</f>
      </c>
      <c r="C16" s="0">
        <f>=IFERROR(INDEX('CLEAN'!$C$2:$C$9999,2),"")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=IFERROR(INDEX('CLEAN'!$B$2:$B$9999,3),"")</f>
      </c>
      <c r="C17" s="0">
        <f>=IFERROR(INDEX('CLEAN'!$C$2:$C$9999,3),"")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=IFERROR(INDEX('CLEAN'!$B$2:$B$9999,4),"")</f>
      </c>
      <c r="C18" s="0">
        <f>=IFERROR(INDEX('CLEAN'!$C$2:$C$9999,4),"")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=IFERROR(INDEX('CLEAN'!$B$2:$B$9999,5),"")</f>
      </c>
      <c r="C19" s="0">
        <f>=IFERROR(INDEX('CLEAN'!$C$2:$C$9999,5),"")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=IFERROR(INDEX('CLEAN'!$B$2:$B$9999,6),"")</f>
      </c>
      <c r="C20" s="0">
        <f>=IFERROR(INDEX('CLEAN'!$C$2:$C$9999,6),"")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=IFERROR(INDEX('CLEAN'!$B$2:$B$9999,7),"")</f>
      </c>
      <c r="C21" s="0">
        <f>=IFERROR(INDEX('CLEAN'!$C$2:$C$9999,7),"")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=IFERROR(INDEX('CLEAN'!$B$2:$B$9999,8),"")</f>
      </c>
      <c r="C22" s="0">
        <f>=IFERROR(INDEX('CLEAN'!$C$2:$C$9999,8),"")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=IFERROR(INDEX('CLEAN'!$B$2:$B$9999,9),"")</f>
      </c>
      <c r="C23" s="0">
        <f>=IFERROR(INDEX('CLEAN'!$C$2:$C$9999,9),"")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=IFERROR(INDEX('CLEAN'!$B$2:$B$9999,10),"")</f>
      </c>
      <c r="C24" s="0">
        <f>=IFERROR(INDEX('CLEAN'!$C$2:$C$9999,10),"")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98</v>
      </c>
      <c r="F26" s="6">
        <f>=AVERAGE(F15:F24)</f>
      </c>
    </row>
    <row r="28">
      <c r="A28" s="6" t="s">
        <v>99</v>
      </c>
    </row>
    <row r="29">
      <c r="A29" s="6" t="s">
        <v>93</v>
      </c>
      <c r="B29" s="6" t="s">
        <v>94</v>
      </c>
      <c r="C29" s="6" t="s">
        <v>95</v>
      </c>
      <c r="D29" s="6" t="s">
        <v>0</v>
      </c>
      <c r="E29" s="6" t="s">
        <v>96</v>
      </c>
      <c r="F29" s="6" t="s">
        <v>97</v>
      </c>
    </row>
    <row r="30">
      <c r="B30" s="0">
        <f>=IFERROR(INDEX('CLEAN'!$B$2:$B$9999,1),"")</f>
      </c>
      <c r="C30" s="0">
        <f>=IFERROR(INDEX('CLEAN'!$D$2:$D$9999,1),"")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=IFERROR(INDEX('CLEAN'!$B$2:$B$9999,2),"")</f>
      </c>
      <c r="C31" s="0">
        <f>=IFERROR(INDEX('CLEAN'!$D$2:$D$9999,2),"")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=IFERROR(INDEX('CLEAN'!$B$2:$B$9999,3),"")</f>
      </c>
      <c r="C32" s="0">
        <f>=IFERROR(INDEX('CLEAN'!$D$2:$D$9999,3),"")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=IFERROR(INDEX('CLEAN'!$B$2:$B$9999,4),"")</f>
      </c>
      <c r="C33" s="0">
        <f>=IFERROR(INDEX('CLEAN'!$D$2:$D$9999,4),"")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=IFERROR(INDEX('CLEAN'!$B$2:$B$9999,5),"")</f>
      </c>
      <c r="C34" s="0">
        <f>=IFERROR(INDEX('CLEAN'!$D$2:$D$9999,5),"")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=IFERROR(INDEX('CLEAN'!$B$2:$B$9999,6),"")</f>
      </c>
      <c r="C35" s="0">
        <f>=IFERROR(INDEX('CLEAN'!$D$2:$D$9999,6),"")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=IFERROR(INDEX('CLEAN'!$B$2:$B$9999,7),"")</f>
      </c>
      <c r="C36" s="0">
        <f>=IFERROR(INDEX('CLEAN'!$D$2:$D$9999,7),"")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=IFERROR(INDEX('CLEAN'!$B$2:$B$9999,8),"")</f>
      </c>
      <c r="C37" s="0">
        <f>=IFERROR(INDEX('CLEAN'!$D$2:$D$9999,8),"")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=IFERROR(INDEX('CLEAN'!$B$2:$B$9999,9),"")</f>
      </c>
      <c r="C38" s="0">
        <f>=IFERROR(INDEX('CLEAN'!$D$2:$D$9999,9),"")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=IFERROR(INDEX('CLEAN'!$B$2:$B$9999,10),"")</f>
      </c>
      <c r="C39" s="0">
        <f>=IFERROR(INDEX('CLEAN'!$D$2:$D$9999,10),"")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98</v>
      </c>
      <c r="F41" s="6">
        <f>=AVERAGE(F30:F39)</f>
      </c>
    </row>
    <row r="43">
      <c r="A43" s="6" t="s">
        <v>100</v>
      </c>
    </row>
    <row r="44">
      <c r="A44" s="6" t="s">
        <v>93</v>
      </c>
      <c r="B44" s="6" t="s">
        <v>94</v>
      </c>
      <c r="C44" s="6" t="s">
        <v>95</v>
      </c>
      <c r="D44" s="6" t="s">
        <v>0</v>
      </c>
      <c r="E44" s="6" t="s">
        <v>96</v>
      </c>
      <c r="F44" s="6" t="s">
        <v>97</v>
      </c>
    </row>
    <row r="45">
      <c r="B45" s="0">
        <f>=IFERROR(INDEX('CLEAN'!$B$2:$B$9999,1),"")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=IFERROR(INDEX('CLEAN'!$B$2:$B$9999,2),"")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=IFERROR(INDEX('CLEAN'!$B$2:$B$9999,3),"")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=IFERROR(INDEX('CLEAN'!$B$2:$B$9999,4),"")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=IFERROR(INDEX('CLEAN'!$B$2:$B$9999,5),"")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=IFERROR(INDEX('CLEAN'!$B$2:$B$9999,6),"")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=IFERROR(INDEX('CLEAN'!$B$2:$B$9999,7),"")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=IFERROR(INDEX('CLEAN'!$B$2:$B$9999,8),"")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=IFERROR(INDEX('CLEAN'!$B$2:$B$9999,9),"")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=IFERROR(INDEX('CLEAN'!$B$2:$B$9999,10),"")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98</v>
      </c>
      <c r="F56" s="6">
        <f>=AVERAGE(F45:F54)</f>
      </c>
    </row>
    <row r="58">
      <c r="A58" s="6" t="s">
        <v>101</v>
      </c>
    </row>
    <row r="59">
      <c r="A59" s="6" t="s">
        <v>93</v>
      </c>
      <c r="B59" s="6" t="s">
        <v>94</v>
      </c>
      <c r="C59" s="6" t="s">
        <v>95</v>
      </c>
      <c r="D59" s="6" t="s">
        <v>0</v>
      </c>
      <c r="E59" s="6" t="s">
        <v>96</v>
      </c>
      <c r="F59" s="6" t="s">
        <v>97</v>
      </c>
    </row>
    <row r="60">
      <c r="B60" s="0">
        <f>=IFERROR(INDEX('CLEAN'!$B$2:$B$9999,1),"")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=IFERROR(INDEX('CLEAN'!$B$2:$B$9999,2),"")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=IFERROR(INDEX('CLEAN'!$B$2:$B$9999,3),"")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=IFERROR(INDEX('CLEAN'!$B$2:$B$9999,4),"")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=IFERROR(INDEX('CLEAN'!$B$2:$B$9999,5),"")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=IFERROR(INDEX('CLEAN'!$B$2:$B$9999,6),"")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=IFERROR(INDEX('CLEAN'!$B$2:$B$9999,7),"")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=IFERROR(INDEX('CLEAN'!$B$2:$B$9999,8),"")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=IFERROR(INDEX('CLEAN'!$B$2:$B$9999,9),"")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=IFERROR(INDEX('CLEAN'!$B$2:$B$9999,10),"")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98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116"/>
    <hyperlink ref="D2" r:id="rId117"/>
    <hyperlink ref="C3" r:id="rId118"/>
    <hyperlink ref="D3" r:id="rId119"/>
    <hyperlink ref="C4" r:id="rId120"/>
    <hyperlink ref="D4" r:id="rId121"/>
    <hyperlink ref="C5" r:id="rId122"/>
    <hyperlink ref="D5" r:id="rId123"/>
    <hyperlink ref="C6" r:id="rId124"/>
    <hyperlink ref="D6" r:id="rId125"/>
    <hyperlink ref="C7" r:id="rId126"/>
    <hyperlink ref="D7" r:id="rId127"/>
    <hyperlink ref="C8" r:id="rId128"/>
    <hyperlink ref="D8" r:id="rId129"/>
    <hyperlink ref="C9" r:id="rId130"/>
    <hyperlink ref="D9" r:id="rId131"/>
    <hyperlink ref="C10" r:id="rId132"/>
    <hyperlink ref="D10" r:id="rId133"/>
    <hyperlink ref="C11" r:id="rId134"/>
    <hyperlink ref="D11" r:id="rId135"/>
  </hyperlink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13.3999547958374" customWidth="1"/>
    <col min="2" max="2" width="29.7884368896484" customWidth="1"/>
    <col min="3" max="3" width="36.2613716125488" customWidth="1"/>
    <col min="4" max="4" width="80.0864105224609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30.2191486358643" customWidth="1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  <c r="K1" s="0" t="s">
        <v>58</v>
      </c>
      <c r="L1" s="0" t="s">
        <v>59</v>
      </c>
      <c r="M1" s="0" t="s">
        <v>60</v>
      </c>
      <c r="N1" s="0" t="s">
        <v>61</v>
      </c>
    </row>
    <row r="2">
      <c r="A2" s="0" t="s">
        <v>39</v>
      </c>
      <c r="B2" s="0" t="s">
        <v>102</v>
      </c>
      <c r="C2" s="2" t="s">
        <v>103</v>
      </c>
      <c r="D2" s="2" t="s">
        <v>64</v>
      </c>
      <c r="H2" s="0">
        <v>1</v>
      </c>
      <c r="I2" s="0">
        <v>98.5</v>
      </c>
      <c r="J2" s="0">
        <v>0.345</v>
      </c>
      <c r="K2" s="0">
        <v>0.6</v>
      </c>
      <c r="L2" s="0">
        <v>0.25</v>
      </c>
      <c r="M2" s="0">
        <v>0</v>
      </c>
      <c r="N2" s="0" t="s">
        <v>7</v>
      </c>
    </row>
    <row r="3">
      <c r="A3" s="0" t="s">
        <v>40</v>
      </c>
      <c r="B3" s="0" t="s">
        <v>104</v>
      </c>
      <c r="C3" s="2" t="s">
        <v>81</v>
      </c>
      <c r="D3" s="2" t="s">
        <v>82</v>
      </c>
      <c r="H3" s="0">
        <v>2</v>
      </c>
      <c r="I3" s="0">
        <v>96</v>
      </c>
      <c r="N3" s="0" t="s">
        <v>9</v>
      </c>
    </row>
    <row r="4">
      <c r="A4" s="0" t="s">
        <v>42</v>
      </c>
      <c r="B4" s="0" t="s">
        <v>105</v>
      </c>
      <c r="C4" s="2" t="s">
        <v>75</v>
      </c>
      <c r="D4" s="2" t="s">
        <v>106</v>
      </c>
      <c r="H4" s="0">
        <v>3</v>
      </c>
      <c r="I4" s="0">
        <v>95</v>
      </c>
      <c r="N4" s="0" t="s">
        <v>12</v>
      </c>
    </row>
    <row r="5">
      <c r="A5" s="0" t="s">
        <v>40</v>
      </c>
      <c r="B5" s="0" t="s">
        <v>107</v>
      </c>
      <c r="C5" s="2" t="s">
        <v>66</v>
      </c>
      <c r="D5" s="2" t="s">
        <v>67</v>
      </c>
      <c r="H5" s="0">
        <v>4</v>
      </c>
      <c r="I5" s="0">
        <v>93.5</v>
      </c>
      <c r="N5" s="0" t="s">
        <v>10</v>
      </c>
    </row>
    <row r="6">
      <c r="A6" s="0" t="s">
        <v>40</v>
      </c>
      <c r="B6" s="0" t="s">
        <v>108</v>
      </c>
      <c r="C6" s="2" t="s">
        <v>84</v>
      </c>
      <c r="D6" s="2" t="s">
        <v>85</v>
      </c>
      <c r="H6" s="0">
        <v>5</v>
      </c>
      <c r="I6" s="0">
        <v>91</v>
      </c>
      <c r="N6" s="0" t="s">
        <v>18</v>
      </c>
    </row>
    <row r="7">
      <c r="A7" s="0" t="s">
        <v>44</v>
      </c>
      <c r="B7" s="0" t="s">
        <v>109</v>
      </c>
      <c r="C7" s="2" t="s">
        <v>87</v>
      </c>
      <c r="D7" s="2" t="s">
        <v>88</v>
      </c>
      <c r="H7" s="0">
        <v>6</v>
      </c>
      <c r="I7" s="0">
        <v>89</v>
      </c>
      <c r="N7" s="0" t="s">
        <v>16</v>
      </c>
    </row>
    <row r="8">
      <c r="A8" s="0" t="s">
        <v>40</v>
      </c>
      <c r="B8" s="0" t="s">
        <v>110</v>
      </c>
      <c r="C8" s="2" t="s">
        <v>111</v>
      </c>
      <c r="D8" s="2" t="s">
        <v>112</v>
      </c>
      <c r="E8" s="0">
        <v>401</v>
      </c>
      <c r="F8" s="0">
        <v>248</v>
      </c>
      <c r="G8" s="0">
        <v>68</v>
      </c>
      <c r="H8" s="0">
        <v>7</v>
      </c>
      <c r="I8" s="0">
        <v>87.5</v>
      </c>
      <c r="J8" s="0">
        <v>0.363</v>
      </c>
      <c r="K8" s="0">
        <v>0.64</v>
      </c>
      <c r="L8" s="0">
        <v>0.25</v>
      </c>
      <c r="M8" s="0">
        <v>0</v>
      </c>
      <c r="N8" s="0" t="s">
        <v>20</v>
      </c>
    </row>
    <row r="9">
      <c r="A9" s="0" t="s">
        <v>40</v>
      </c>
      <c r="B9" s="0" t="s">
        <v>77</v>
      </c>
      <c r="C9" s="2" t="s">
        <v>78</v>
      </c>
      <c r="D9" s="2" t="s">
        <v>113</v>
      </c>
      <c r="E9" s="0">
        <v>403</v>
      </c>
      <c r="F9" s="0">
        <v>28</v>
      </c>
      <c r="G9" s="0">
        <v>94</v>
      </c>
      <c r="H9" s="0">
        <v>8</v>
      </c>
      <c r="I9" s="0">
        <v>85</v>
      </c>
      <c r="J9" s="0">
        <v>0.435</v>
      </c>
      <c r="K9" s="0">
        <v>0.8</v>
      </c>
      <c r="L9" s="0">
        <v>0.25</v>
      </c>
      <c r="M9" s="0">
        <v>0</v>
      </c>
      <c r="N9" s="0" t="s">
        <v>28</v>
      </c>
    </row>
    <row r="10">
      <c r="A10" s="0" t="s">
        <v>46</v>
      </c>
      <c r="B10" s="0" t="s">
        <v>114</v>
      </c>
      <c r="C10" s="2" t="s">
        <v>115</v>
      </c>
      <c r="D10" s="2" t="s">
        <v>116</v>
      </c>
      <c r="H10" s="0">
        <v>9</v>
      </c>
      <c r="I10" s="0">
        <v>83</v>
      </c>
      <c r="N10" s="0" t="s">
        <v>30</v>
      </c>
    </row>
    <row r="11">
      <c r="A11" s="0" t="s">
        <v>40</v>
      </c>
      <c r="B11" s="0" t="s">
        <v>117</v>
      </c>
      <c r="C11" s="2" t="s">
        <v>90</v>
      </c>
      <c r="D11" s="2" t="s">
        <v>91</v>
      </c>
      <c r="H11" s="0">
        <v>10</v>
      </c>
      <c r="I11" s="0">
        <v>80.5</v>
      </c>
      <c r="N11" s="0" t="s">
        <v>35</v>
      </c>
    </row>
    <row r="13">
      <c r="A13" s="6" t="s">
        <v>118</v>
      </c>
    </row>
    <row r="14">
      <c r="A14" s="6" t="s">
        <v>93</v>
      </c>
      <c r="B14" s="6" t="s">
        <v>94</v>
      </c>
      <c r="C14" s="6" t="s">
        <v>95</v>
      </c>
      <c r="D14" s="6" t="s">
        <v>0</v>
      </c>
      <c r="E14" s="6" t="s">
        <v>96</v>
      </c>
      <c r="F14" s="6" t="s">
        <v>97</v>
      </c>
    </row>
    <row r="15">
      <c r="B15" s="0">
        <f>=IFERROR(INDEX('CLEAN'!$C$2:$C$9999,1),"")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=IFERROR(INDEX('CLEAN'!$C$2:$C$9999,2),"")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=IFERROR(INDEX('CLEAN'!$C$2:$C$9999,3),"")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=IFERROR(INDEX('CLEAN'!$C$2:$C$9999,4),"")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=IFERROR(INDEX('CLEAN'!$C$2:$C$9999,5),"")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=IFERROR(INDEX('CLEAN'!$C$2:$C$9999,6),"")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=IFERROR(INDEX('CLEAN'!$C$2:$C$9999,7),"")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=IFERROR(INDEX('CLEAN'!$C$2:$C$9999,8),"")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=IFERROR(INDEX('CLEAN'!$C$2:$C$9999,9),"")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=IFERROR(INDEX('CLEAN'!$C$2:$C$9999,10),"")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98</v>
      </c>
      <c r="F26" s="6">
        <f>=AVERAGE(F15:F24)</f>
      </c>
    </row>
    <row r="28">
      <c r="A28" s="6" t="s">
        <v>119</v>
      </c>
    </row>
    <row r="29">
      <c r="A29" s="6" t="s">
        <v>93</v>
      </c>
      <c r="B29" s="6" t="s">
        <v>94</v>
      </c>
      <c r="C29" s="6" t="s">
        <v>95</v>
      </c>
      <c r="D29" s="6" t="s">
        <v>0</v>
      </c>
      <c r="E29" s="6" t="s">
        <v>96</v>
      </c>
      <c r="F29" s="6" t="s">
        <v>97</v>
      </c>
    </row>
    <row r="30">
      <c r="B30" s="0">
        <f>=IFERROR(INDEX('CLEAN'!$C$2:$C$9999,1),"")</f>
      </c>
      <c r="C30" s="0">
        <f>=IFERROR(INDEX('CLEAN'!$D$2:$D$9999,1),"")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=IFERROR(INDEX('CLEAN'!$C$2:$C$9999,2),"")</f>
      </c>
      <c r="C31" s="0">
        <f>=IFERROR(INDEX('CLEAN'!$D$2:$D$9999,2),"")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=IFERROR(INDEX('CLEAN'!$C$2:$C$9999,3),"")</f>
      </c>
      <c r="C32" s="0">
        <f>=IFERROR(INDEX('CLEAN'!$D$2:$D$9999,3),"")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=IFERROR(INDEX('CLEAN'!$C$2:$C$9999,4),"")</f>
      </c>
      <c r="C33" s="0">
        <f>=IFERROR(INDEX('CLEAN'!$D$2:$D$9999,4),"")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=IFERROR(INDEX('CLEAN'!$C$2:$C$9999,5),"")</f>
      </c>
      <c r="C34" s="0">
        <f>=IFERROR(INDEX('CLEAN'!$D$2:$D$9999,5),"")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=IFERROR(INDEX('CLEAN'!$C$2:$C$9999,6),"")</f>
      </c>
      <c r="C35" s="0">
        <f>=IFERROR(INDEX('CLEAN'!$D$2:$D$9999,6),"")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=IFERROR(INDEX('CLEAN'!$C$2:$C$9999,7),"")</f>
      </c>
      <c r="C36" s="0">
        <f>=IFERROR(INDEX('CLEAN'!$D$2:$D$9999,7),"")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=IFERROR(INDEX('CLEAN'!$C$2:$C$9999,8),"")</f>
      </c>
      <c r="C37" s="0">
        <f>=IFERROR(INDEX('CLEAN'!$D$2:$D$9999,8),"")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=IFERROR(INDEX('CLEAN'!$C$2:$C$9999,9),"")</f>
      </c>
      <c r="C38" s="0">
        <f>=IFERROR(INDEX('CLEAN'!$D$2:$D$9999,9),"")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=IFERROR(INDEX('CLEAN'!$C$2:$C$9999,10),"")</f>
      </c>
      <c r="C39" s="0">
        <f>=IFERROR(INDEX('CLEAN'!$D$2:$D$9999,10),"")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98</v>
      </c>
      <c r="F41" s="6">
        <f>=AVERAGE(F30:F39)</f>
      </c>
    </row>
    <row r="43">
      <c r="A43" s="6" t="s">
        <v>120</v>
      </c>
    </row>
    <row r="44">
      <c r="A44" s="6" t="s">
        <v>93</v>
      </c>
      <c r="B44" s="6" t="s">
        <v>94</v>
      </c>
      <c r="C44" s="6" t="s">
        <v>95</v>
      </c>
      <c r="D44" s="6" t="s">
        <v>0</v>
      </c>
      <c r="E44" s="6" t="s">
        <v>96</v>
      </c>
      <c r="F44" s="6" t="s">
        <v>97</v>
      </c>
    </row>
    <row r="45">
      <c r="B45" s="0">
        <f>=IFERROR(INDEX('CLEAN'!$C$2:$C$9999,1),"")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=IFERROR(INDEX('CLEAN'!$C$2:$C$9999,2),"")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=IFERROR(INDEX('CLEAN'!$C$2:$C$9999,3),"")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=IFERROR(INDEX('CLEAN'!$C$2:$C$9999,4),"")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=IFERROR(INDEX('CLEAN'!$C$2:$C$9999,5),"")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=IFERROR(INDEX('CLEAN'!$C$2:$C$9999,6),"")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=IFERROR(INDEX('CLEAN'!$C$2:$C$9999,7),"")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=IFERROR(INDEX('CLEAN'!$C$2:$C$9999,8),"")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=IFERROR(INDEX('CLEAN'!$C$2:$C$9999,9),"")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=IFERROR(INDEX('CLEAN'!$C$2:$C$9999,10),"")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98</v>
      </c>
      <c r="F56" s="6">
        <f>=AVERAGE(F45:F54)</f>
      </c>
    </row>
    <row r="58">
      <c r="A58" s="6" t="s">
        <v>121</v>
      </c>
    </row>
    <row r="59">
      <c r="A59" s="6" t="s">
        <v>93</v>
      </c>
      <c r="B59" s="6" t="s">
        <v>94</v>
      </c>
      <c r="C59" s="6" t="s">
        <v>95</v>
      </c>
      <c r="D59" s="6" t="s">
        <v>0</v>
      </c>
      <c r="E59" s="6" t="s">
        <v>96</v>
      </c>
      <c r="F59" s="6" t="s">
        <v>97</v>
      </c>
    </row>
    <row r="60">
      <c r="B60" s="0">
        <f>=IFERROR(INDEX('CLEAN'!$C$2:$C$9999,1),"")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=IFERROR(INDEX('CLEAN'!$C$2:$C$9999,2),"")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=IFERROR(INDEX('CLEAN'!$C$2:$C$9999,3),"")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=IFERROR(INDEX('CLEAN'!$C$2:$C$9999,4),"")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=IFERROR(INDEX('CLEAN'!$C$2:$C$9999,5),"")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=IFERROR(INDEX('CLEAN'!$C$2:$C$9999,6),"")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=IFERROR(INDEX('CLEAN'!$C$2:$C$9999,7),"")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=IFERROR(INDEX('CLEAN'!$C$2:$C$9999,8),"")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=IFERROR(INDEX('CLEAN'!$C$2:$C$9999,9),"")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=IFERROR(INDEX('CLEAN'!$C$2:$C$9999,10),"")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98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97"/>
    <hyperlink ref="D2" r:id="rId98"/>
    <hyperlink ref="C3" r:id="rId99"/>
    <hyperlink ref="D3" r:id="rId100"/>
    <hyperlink ref="C4" r:id="rId101"/>
    <hyperlink ref="D4" r:id="rId102"/>
    <hyperlink ref="C5" r:id="rId103"/>
    <hyperlink ref="D5" r:id="rId104"/>
    <hyperlink ref="C6" r:id="rId105"/>
    <hyperlink ref="D6" r:id="rId106"/>
    <hyperlink ref="C7" r:id="rId107"/>
    <hyperlink ref="D7" r:id="rId108"/>
    <hyperlink ref="C8" r:id="rId109"/>
    <hyperlink ref="D8" r:id="rId110"/>
    <hyperlink ref="C9" r:id="rId111"/>
    <hyperlink ref="D9" r:id="rId112"/>
    <hyperlink ref="C10" r:id="rId113"/>
    <hyperlink ref="D10" r:id="rId114"/>
    <hyperlink ref="C11" r:id="rId115"/>
    <hyperlink ref="D11" r:id="rId116"/>
  </hyperlink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13.3999547958374" customWidth="1"/>
    <col min="2" max="2" width="29.3393115997314" customWidth="1"/>
    <col min="3" max="3" width="29.8979053497314" customWidth="1"/>
    <col min="4" max="4" width="95.8978805541992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26.2650012969971" customWidth="1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  <c r="K1" s="0" t="s">
        <v>58</v>
      </c>
      <c r="L1" s="0" t="s">
        <v>59</v>
      </c>
      <c r="M1" s="0" t="s">
        <v>60</v>
      </c>
      <c r="N1" s="0" t="s">
        <v>61</v>
      </c>
    </row>
    <row r="2">
      <c r="A2" s="0" t="s">
        <v>39</v>
      </c>
      <c r="B2" s="0" t="s">
        <v>122</v>
      </c>
      <c r="C2" s="3" t="s">
        <v>63</v>
      </c>
      <c r="D2" s="3" t="s">
        <v>123</v>
      </c>
      <c r="H2" s="0">
        <v>1</v>
      </c>
      <c r="I2" s="0">
        <v>100</v>
      </c>
      <c r="N2" s="0" t="s">
        <v>7</v>
      </c>
    </row>
    <row r="3">
      <c r="A3" s="0" t="s">
        <v>40</v>
      </c>
      <c r="B3" s="0" t="s">
        <v>124</v>
      </c>
      <c r="C3" s="3" t="s">
        <v>81</v>
      </c>
      <c r="D3" s="3" t="s">
        <v>125</v>
      </c>
      <c r="H3" s="0">
        <v>2</v>
      </c>
      <c r="I3" s="0">
        <v>100</v>
      </c>
      <c r="N3" s="0" t="s">
        <v>9</v>
      </c>
    </row>
    <row r="4">
      <c r="A4" s="0" t="s">
        <v>40</v>
      </c>
      <c r="B4" s="0" t="s">
        <v>126</v>
      </c>
      <c r="C4" s="3" t="s">
        <v>66</v>
      </c>
      <c r="D4" s="3" t="s">
        <v>67</v>
      </c>
      <c r="H4" s="0">
        <v>3</v>
      </c>
      <c r="I4" s="0">
        <v>100</v>
      </c>
      <c r="N4" s="0" t="s">
        <v>10</v>
      </c>
    </row>
    <row r="5">
      <c r="A5" s="0" t="s">
        <v>40</v>
      </c>
      <c r="B5" s="0" t="s">
        <v>127</v>
      </c>
      <c r="C5" s="3" t="s">
        <v>84</v>
      </c>
      <c r="D5" s="3" t="s">
        <v>85</v>
      </c>
      <c r="H5" s="0">
        <v>4</v>
      </c>
      <c r="I5" s="0">
        <v>100</v>
      </c>
      <c r="N5" s="0" t="s">
        <v>15</v>
      </c>
    </row>
    <row r="6">
      <c r="A6" s="0" t="s">
        <v>44</v>
      </c>
      <c r="B6" s="0" t="s">
        <v>128</v>
      </c>
      <c r="C6" s="3" t="s">
        <v>87</v>
      </c>
      <c r="D6" s="3" t="s">
        <v>129</v>
      </c>
      <c r="H6" s="0">
        <v>5</v>
      </c>
      <c r="I6" s="0">
        <v>100</v>
      </c>
      <c r="N6" s="0" t="s">
        <v>19</v>
      </c>
    </row>
    <row r="7">
      <c r="A7" s="0" t="s">
        <v>40</v>
      </c>
      <c r="B7" s="0" t="s">
        <v>130</v>
      </c>
      <c r="C7" s="3" t="s">
        <v>111</v>
      </c>
      <c r="D7" s="3" t="s">
        <v>131</v>
      </c>
      <c r="H7" s="0">
        <v>6</v>
      </c>
      <c r="I7" s="0">
        <v>95</v>
      </c>
      <c r="N7" s="0" t="s">
        <v>22</v>
      </c>
    </row>
    <row r="8">
      <c r="A8" s="0" t="s">
        <v>40</v>
      </c>
      <c r="B8" s="0" t="s">
        <v>132</v>
      </c>
      <c r="C8" s="3" t="s">
        <v>78</v>
      </c>
      <c r="D8" s="3" t="s">
        <v>133</v>
      </c>
      <c r="H8" s="0">
        <v>7</v>
      </c>
      <c r="I8" s="0">
        <v>95</v>
      </c>
      <c r="N8" s="0" t="s">
        <v>25</v>
      </c>
    </row>
    <row r="9">
      <c r="A9" s="0" t="s">
        <v>41</v>
      </c>
      <c r="B9" s="0" t="s">
        <v>134</v>
      </c>
      <c r="C9" s="3" t="s">
        <v>69</v>
      </c>
      <c r="D9" s="3" t="s">
        <v>135</v>
      </c>
      <c r="H9" s="0">
        <v>8</v>
      </c>
      <c r="I9" s="0">
        <v>90</v>
      </c>
      <c r="N9" s="0" t="s">
        <v>23</v>
      </c>
    </row>
    <row r="10">
      <c r="A10" s="0" t="s">
        <v>45</v>
      </c>
      <c r="B10" s="0" t="s">
        <v>136</v>
      </c>
      <c r="C10" s="3" t="s">
        <v>137</v>
      </c>
      <c r="D10" s="3" t="s">
        <v>138</v>
      </c>
      <c r="H10" s="0">
        <v>9</v>
      </c>
      <c r="I10" s="0">
        <v>90</v>
      </c>
      <c r="N10" s="0" t="s">
        <v>31</v>
      </c>
    </row>
    <row r="11">
      <c r="A11" s="0" t="s">
        <v>40</v>
      </c>
      <c r="B11" s="0" t="s">
        <v>139</v>
      </c>
      <c r="C11" s="3" t="s">
        <v>140</v>
      </c>
      <c r="D11" s="3" t="s">
        <v>141</v>
      </c>
      <c r="H11" s="0">
        <v>10</v>
      </c>
      <c r="I11" s="0">
        <v>90</v>
      </c>
      <c r="N11" s="0" t="s">
        <v>36</v>
      </c>
    </row>
    <row r="13">
      <c r="A13" s="6" t="s">
        <v>142</v>
      </c>
    </row>
    <row r="14">
      <c r="A14" s="6" t="s">
        <v>93</v>
      </c>
      <c r="B14" s="6" t="s">
        <v>94</v>
      </c>
      <c r="C14" s="6" t="s">
        <v>95</v>
      </c>
      <c r="D14" s="6" t="s">
        <v>0</v>
      </c>
      <c r="E14" s="6" t="s">
        <v>96</v>
      </c>
      <c r="F14" s="6" t="s">
        <v>97</v>
      </c>
    </row>
    <row r="15">
      <c r="B15" s="0">
        <f>=IFERROR(INDEX('CLEAN'!$D$2:$D$9999,1),"")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=IFERROR(INDEX('CLEAN'!$D$2:$D$9999,2),"")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=IFERROR(INDEX('CLEAN'!$D$2:$D$9999,3),"")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=IFERROR(INDEX('CLEAN'!$D$2:$D$9999,4),"")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=IFERROR(INDEX('CLEAN'!$D$2:$D$9999,5),"")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=IFERROR(INDEX('CLEAN'!$D$2:$D$9999,6),"")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=IFERROR(INDEX('CLEAN'!$D$2:$D$9999,7),"")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=IFERROR(INDEX('CLEAN'!$D$2:$D$9999,8),"")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=IFERROR(INDEX('CLEAN'!$D$2:$D$9999,9),"")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=IFERROR(INDEX('CLEAN'!$D$2:$D$9999,10),"")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98</v>
      </c>
      <c r="F26" s="6">
        <f>=AVERAGE(F15:F24)</f>
      </c>
    </row>
    <row r="28">
      <c r="A28" s="6" t="s">
        <v>143</v>
      </c>
    </row>
    <row r="29">
      <c r="A29" s="6" t="s">
        <v>93</v>
      </c>
      <c r="B29" s="6" t="s">
        <v>94</v>
      </c>
      <c r="C29" s="6" t="s">
        <v>95</v>
      </c>
      <c r="D29" s="6" t="s">
        <v>0</v>
      </c>
      <c r="E29" s="6" t="s">
        <v>96</v>
      </c>
      <c r="F29" s="6" t="s">
        <v>97</v>
      </c>
    </row>
    <row r="30">
      <c r="B30" s="0">
        <f>=IFERROR(INDEX('CLEAN'!$D$2:$D$9999,1),"")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=IFERROR(INDEX('CLEAN'!$D$2:$D$9999,2),"")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=IFERROR(INDEX('CLEAN'!$D$2:$D$9999,3),"")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=IFERROR(INDEX('CLEAN'!$D$2:$D$9999,4),"")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=IFERROR(INDEX('CLEAN'!$D$2:$D$9999,5),"")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=IFERROR(INDEX('CLEAN'!$D$2:$D$9999,6),"")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=IFERROR(INDEX('CLEAN'!$D$2:$D$9999,7),"")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=IFERROR(INDEX('CLEAN'!$D$2:$D$9999,8),"")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=IFERROR(INDEX('CLEAN'!$D$2:$D$9999,9),"")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=IFERROR(INDEX('CLEAN'!$D$2:$D$9999,10),"")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98</v>
      </c>
      <c r="F41" s="6">
        <f>=AVERAGE(F30:F39)</f>
      </c>
    </row>
    <row r="43">
      <c r="A43" s="6" t="s">
        <v>144</v>
      </c>
    </row>
    <row r="44">
      <c r="A44" s="6" t="s">
        <v>93</v>
      </c>
      <c r="B44" s="6" t="s">
        <v>94</v>
      </c>
      <c r="C44" s="6" t="s">
        <v>95</v>
      </c>
      <c r="D44" s="6" t="s">
        <v>0</v>
      </c>
      <c r="E44" s="6" t="s">
        <v>96</v>
      </c>
      <c r="F44" s="6" t="s">
        <v>97</v>
      </c>
    </row>
    <row r="45">
      <c r="B45" s="0">
        <f>=IFERROR(INDEX('CLEAN'!$D$2:$D$9999,1),"")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=IFERROR(INDEX('CLEAN'!$D$2:$D$9999,2),"")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=IFERROR(INDEX('CLEAN'!$D$2:$D$9999,3),"")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=IFERROR(INDEX('CLEAN'!$D$2:$D$9999,4),"")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=IFERROR(INDEX('CLEAN'!$D$2:$D$9999,5),"")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=IFERROR(INDEX('CLEAN'!$D$2:$D$9999,6),"")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=IFERROR(INDEX('CLEAN'!$D$2:$D$9999,7),"")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=IFERROR(INDEX('CLEAN'!$D$2:$D$9999,8),"")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=IFERROR(INDEX('CLEAN'!$D$2:$D$9999,9),"")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=IFERROR(INDEX('CLEAN'!$D$2:$D$9999,10),"")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98</v>
      </c>
      <c r="F56" s="6">
        <f>=AVERAGE(F45:F54)</f>
      </c>
    </row>
    <row r="58">
      <c r="A58" s="6" t="s">
        <v>145</v>
      </c>
    </row>
    <row r="59">
      <c r="A59" s="6" t="s">
        <v>93</v>
      </c>
      <c r="B59" s="6" t="s">
        <v>94</v>
      </c>
      <c r="C59" s="6" t="s">
        <v>95</v>
      </c>
      <c r="D59" s="6" t="s">
        <v>0</v>
      </c>
      <c r="E59" s="6" t="s">
        <v>96</v>
      </c>
      <c r="F59" s="6" t="s">
        <v>97</v>
      </c>
    </row>
    <row r="60">
      <c r="B60" s="0">
        <f>=IFERROR(INDEX('CLEAN'!$D$2:$D$9999,1),"")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=IFERROR(INDEX('CLEAN'!$D$2:$D$9999,2),"")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=IFERROR(INDEX('CLEAN'!$D$2:$D$9999,3),"")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=IFERROR(INDEX('CLEAN'!$D$2:$D$9999,4),"")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=IFERROR(INDEX('CLEAN'!$D$2:$D$9999,5),"")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=IFERROR(INDEX('CLEAN'!$D$2:$D$9999,6),"")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=IFERROR(INDEX('CLEAN'!$D$2:$D$9999,7),"")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=IFERROR(INDEX('CLEAN'!$D$2:$D$9999,8),"")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=IFERROR(INDEX('CLEAN'!$D$2:$D$9999,9),"")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=IFERROR(INDEX('CLEAN'!$D$2:$D$9999,10),"")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98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78"/>
    <hyperlink ref="D2" r:id="rId79"/>
    <hyperlink ref="C3" r:id="rId80"/>
    <hyperlink ref="D3" r:id="rId81"/>
    <hyperlink ref="C4" r:id="rId82"/>
    <hyperlink ref="D4" r:id="rId83"/>
    <hyperlink ref="C5" r:id="rId84"/>
    <hyperlink ref="D5" r:id="rId85"/>
    <hyperlink ref="C6" r:id="rId86"/>
    <hyperlink ref="D6" r:id="rId87"/>
    <hyperlink ref="C7" r:id="rId88"/>
    <hyperlink ref="D7" r:id="rId89"/>
    <hyperlink ref="C8" r:id="rId90"/>
    <hyperlink ref="D8" r:id="rId91"/>
    <hyperlink ref="C9" r:id="rId92"/>
    <hyperlink ref="D9" r:id="rId93"/>
    <hyperlink ref="C10" r:id="rId94"/>
    <hyperlink ref="D10" r:id="rId95"/>
    <hyperlink ref="C11" r:id="rId96"/>
    <hyperlink ref="D11" r:id="rId97"/>
  </hyperlink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16.3913974761963" customWidth="1"/>
    <col min="2" max="2" width="32.3911170959473" customWidth="1"/>
    <col min="3" max="3" width="36.2051048278809" customWidth="1"/>
    <col min="4" max="4" width="80.0864105224609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30.0585269927979" customWidth="1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  <c r="K1" s="0" t="s">
        <v>58</v>
      </c>
      <c r="L1" s="0" t="s">
        <v>59</v>
      </c>
      <c r="M1" s="0" t="s">
        <v>60</v>
      </c>
      <c r="N1" s="0" t="s">
        <v>61</v>
      </c>
    </row>
    <row r="2">
      <c r="A2" s="0" t="s">
        <v>39</v>
      </c>
      <c r="B2" s="0" t="s">
        <v>146</v>
      </c>
      <c r="C2" s="4" t="s">
        <v>63</v>
      </c>
      <c r="D2" s="4" t="s">
        <v>64</v>
      </c>
      <c r="H2" s="0">
        <v>1</v>
      </c>
      <c r="I2" s="0">
        <v>99.5</v>
      </c>
      <c r="N2" s="0" t="s">
        <v>7</v>
      </c>
    </row>
    <row r="3">
      <c r="A3" s="0" t="s">
        <v>40</v>
      </c>
      <c r="B3" s="0" t="s">
        <v>147</v>
      </c>
      <c r="C3" s="4" t="s">
        <v>81</v>
      </c>
      <c r="D3" s="4" t="s">
        <v>82</v>
      </c>
      <c r="H3" s="0">
        <v>2</v>
      </c>
      <c r="I3" s="0">
        <v>97.8</v>
      </c>
      <c r="N3" s="0" t="s">
        <v>9</v>
      </c>
    </row>
    <row r="4">
      <c r="A4" s="0" t="s">
        <v>42</v>
      </c>
      <c r="B4" s="0" t="s">
        <v>148</v>
      </c>
      <c r="C4" s="4" t="s">
        <v>75</v>
      </c>
      <c r="D4" s="4" t="s">
        <v>106</v>
      </c>
      <c r="H4" s="0">
        <v>3</v>
      </c>
      <c r="I4" s="0">
        <v>95.2</v>
      </c>
      <c r="N4" s="0" t="s">
        <v>13</v>
      </c>
    </row>
    <row r="5">
      <c r="A5" s="0" t="s">
        <v>40</v>
      </c>
      <c r="B5" s="0" t="s">
        <v>149</v>
      </c>
      <c r="C5" s="4" t="s">
        <v>66</v>
      </c>
      <c r="D5" s="4" t="s">
        <v>67</v>
      </c>
      <c r="H5" s="0">
        <v>4</v>
      </c>
      <c r="I5" s="0">
        <v>92.7</v>
      </c>
      <c r="N5" s="0" t="s">
        <v>10</v>
      </c>
    </row>
    <row r="6">
      <c r="A6" s="0" t="s">
        <v>44</v>
      </c>
      <c r="B6" s="0" t="s">
        <v>150</v>
      </c>
      <c r="C6" s="4" t="s">
        <v>87</v>
      </c>
      <c r="D6" s="4" t="s">
        <v>88</v>
      </c>
      <c r="H6" s="0">
        <v>5</v>
      </c>
      <c r="I6" s="0">
        <v>89.3</v>
      </c>
      <c r="N6" s="0" t="s">
        <v>16</v>
      </c>
    </row>
    <row r="7">
      <c r="A7" s="0" t="s">
        <v>41</v>
      </c>
      <c r="B7" s="0" t="s">
        <v>151</v>
      </c>
      <c r="C7" s="4" t="s">
        <v>69</v>
      </c>
      <c r="D7" s="4" t="s">
        <v>152</v>
      </c>
      <c r="H7" s="0">
        <v>6</v>
      </c>
      <c r="I7" s="0">
        <v>86.1</v>
      </c>
      <c r="N7" s="0" t="s">
        <v>23</v>
      </c>
    </row>
    <row r="8">
      <c r="A8" s="0" t="s">
        <v>40</v>
      </c>
      <c r="B8" s="0" t="s">
        <v>77</v>
      </c>
      <c r="C8" s="4" t="s">
        <v>78</v>
      </c>
      <c r="D8" s="4" t="s">
        <v>153</v>
      </c>
      <c r="E8" s="0">
        <v>403</v>
      </c>
      <c r="F8" s="0">
        <v>27</v>
      </c>
      <c r="G8" s="0">
        <v>94</v>
      </c>
      <c r="H8" s="0">
        <v>7</v>
      </c>
      <c r="I8" s="0">
        <v>82.8</v>
      </c>
      <c r="J8" s="0">
        <v>0.435</v>
      </c>
      <c r="K8" s="0">
        <v>0.8</v>
      </c>
      <c r="L8" s="0">
        <v>0.25</v>
      </c>
      <c r="M8" s="0">
        <v>0</v>
      </c>
      <c r="N8" s="0" t="s">
        <v>26</v>
      </c>
    </row>
    <row r="9">
      <c r="A9" s="0" t="s">
        <v>43</v>
      </c>
      <c r="B9" s="0" t="s">
        <v>154</v>
      </c>
      <c r="C9" s="4" t="s">
        <v>72</v>
      </c>
      <c r="D9" s="4" t="s">
        <v>73</v>
      </c>
      <c r="H9" s="0">
        <v>8</v>
      </c>
      <c r="I9" s="0">
        <v>79.4</v>
      </c>
      <c r="N9" s="0" t="s">
        <v>14</v>
      </c>
    </row>
    <row r="10">
      <c r="A10" s="0" t="s">
        <v>40</v>
      </c>
      <c r="B10" s="0" t="s">
        <v>155</v>
      </c>
      <c r="C10" s="4" t="s">
        <v>90</v>
      </c>
      <c r="D10" s="4" t="s">
        <v>91</v>
      </c>
      <c r="H10" s="0">
        <v>9</v>
      </c>
      <c r="I10" s="0">
        <v>75.9</v>
      </c>
      <c r="N10" s="0" t="s">
        <v>32</v>
      </c>
    </row>
    <row r="11">
      <c r="A11" s="0" t="s">
        <v>47</v>
      </c>
      <c r="B11" s="0" t="s">
        <v>156</v>
      </c>
      <c r="C11" s="4" t="s">
        <v>157</v>
      </c>
      <c r="D11" s="4" t="s">
        <v>158</v>
      </c>
      <c r="H11" s="0">
        <v>10</v>
      </c>
      <c r="I11" s="0">
        <v>72.3</v>
      </c>
      <c r="N11" s="0" t="s">
        <v>37</v>
      </c>
    </row>
    <row r="13">
      <c r="A13" s="6" t="s">
        <v>159</v>
      </c>
    </row>
    <row r="14">
      <c r="A14" s="6" t="s">
        <v>93</v>
      </c>
      <c r="B14" s="6" t="s">
        <v>94</v>
      </c>
      <c r="C14" s="6" t="s">
        <v>95</v>
      </c>
      <c r="D14" s="6" t="s">
        <v>0</v>
      </c>
      <c r="E14" s="6" t="s">
        <v>96</v>
      </c>
      <c r="F14" s="6" t="s">
        <v>97</v>
      </c>
    </row>
    <row r="15">
      <c r="B15" s="0">
        <f>=IFERROR(INDEX('CLEAN'!$E$2:$E$9999,1),"")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=IFERROR(INDEX('CLEAN'!$E$2:$E$9999,2),"")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=IFERROR(INDEX('CLEAN'!$E$2:$E$9999,3),"")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=IFERROR(INDEX('CLEAN'!$E$2:$E$9999,4),"")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=IFERROR(INDEX('CLEAN'!$E$2:$E$9999,5),"")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=IFERROR(INDEX('CLEAN'!$E$2:$E$9999,6),"")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=IFERROR(INDEX('CLEAN'!$E$2:$E$9999,7),"")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=IFERROR(INDEX('CLEAN'!$E$2:$E$9999,8),"")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=IFERROR(INDEX('CLEAN'!$E$2:$E$9999,9),"")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=IFERROR(INDEX('CLEAN'!$E$2:$E$9999,10),"")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98</v>
      </c>
      <c r="F26" s="6">
        <f>=AVERAGE(F15:F24)</f>
      </c>
    </row>
    <row r="28">
      <c r="A28" s="6" t="s">
        <v>160</v>
      </c>
    </row>
    <row r="29">
      <c r="A29" s="6" t="s">
        <v>93</v>
      </c>
      <c r="B29" s="6" t="s">
        <v>94</v>
      </c>
      <c r="C29" s="6" t="s">
        <v>95</v>
      </c>
      <c r="D29" s="6" t="s">
        <v>0</v>
      </c>
      <c r="E29" s="6" t="s">
        <v>96</v>
      </c>
      <c r="F29" s="6" t="s">
        <v>97</v>
      </c>
    </row>
    <row r="30">
      <c r="B30" s="0">
        <f>=IFERROR(INDEX('CLEAN'!$E$2:$E$9999,1),"")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=IFERROR(INDEX('CLEAN'!$E$2:$E$9999,2),"")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=IFERROR(INDEX('CLEAN'!$E$2:$E$9999,3),"")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=IFERROR(INDEX('CLEAN'!$E$2:$E$9999,4),"")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=IFERROR(INDEX('CLEAN'!$E$2:$E$9999,5),"")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=IFERROR(INDEX('CLEAN'!$E$2:$E$9999,6),"")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=IFERROR(INDEX('CLEAN'!$E$2:$E$9999,7),"")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=IFERROR(INDEX('CLEAN'!$E$2:$E$9999,8),"")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=IFERROR(INDEX('CLEAN'!$E$2:$E$9999,9),"")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=IFERROR(INDEX('CLEAN'!$E$2:$E$9999,10),"")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98</v>
      </c>
      <c r="F41" s="6">
        <f>=AVERAGE(F30:F39)</f>
      </c>
    </row>
    <row r="43">
      <c r="A43" s="6" t="s">
        <v>161</v>
      </c>
    </row>
    <row r="44">
      <c r="A44" s="6" t="s">
        <v>93</v>
      </c>
      <c r="B44" s="6" t="s">
        <v>94</v>
      </c>
      <c r="C44" s="6" t="s">
        <v>95</v>
      </c>
      <c r="D44" s="6" t="s">
        <v>0</v>
      </c>
      <c r="E44" s="6" t="s">
        <v>96</v>
      </c>
      <c r="F44" s="6" t="s">
        <v>97</v>
      </c>
    </row>
    <row r="45">
      <c r="B45" s="0">
        <f>=IFERROR(INDEX('CLEAN'!$E$2:$E$9999,1),"")</f>
      </c>
      <c r="C45" s="0">
        <f>=IFERROR(INDEX('CLEAN'!$D$2:$D$9999,1),"")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=IFERROR(INDEX('CLEAN'!$E$2:$E$9999,2),"")</f>
      </c>
      <c r="C46" s="0">
        <f>=IFERROR(INDEX('CLEAN'!$D$2:$D$9999,2),"")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=IFERROR(INDEX('CLEAN'!$E$2:$E$9999,3),"")</f>
      </c>
      <c r="C47" s="0">
        <f>=IFERROR(INDEX('CLEAN'!$D$2:$D$9999,3),"")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=IFERROR(INDEX('CLEAN'!$E$2:$E$9999,4),"")</f>
      </c>
      <c r="C48" s="0">
        <f>=IFERROR(INDEX('CLEAN'!$D$2:$D$9999,4),"")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=IFERROR(INDEX('CLEAN'!$E$2:$E$9999,5),"")</f>
      </c>
      <c r="C49" s="0">
        <f>=IFERROR(INDEX('CLEAN'!$D$2:$D$9999,5),"")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=IFERROR(INDEX('CLEAN'!$E$2:$E$9999,6),"")</f>
      </c>
      <c r="C50" s="0">
        <f>=IFERROR(INDEX('CLEAN'!$D$2:$D$9999,6),"")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=IFERROR(INDEX('CLEAN'!$E$2:$E$9999,7),"")</f>
      </c>
      <c r="C51" s="0">
        <f>=IFERROR(INDEX('CLEAN'!$D$2:$D$9999,7),"")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=IFERROR(INDEX('CLEAN'!$E$2:$E$9999,8),"")</f>
      </c>
      <c r="C52" s="0">
        <f>=IFERROR(INDEX('CLEAN'!$D$2:$D$9999,8),"")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=IFERROR(INDEX('CLEAN'!$E$2:$E$9999,9),"")</f>
      </c>
      <c r="C53" s="0">
        <f>=IFERROR(INDEX('CLEAN'!$D$2:$D$9999,9),"")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=IFERROR(INDEX('CLEAN'!$E$2:$E$9999,10),"")</f>
      </c>
      <c r="C54" s="0">
        <f>=IFERROR(INDEX('CLEAN'!$D$2:$D$9999,10),"")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98</v>
      </c>
      <c r="F56" s="6">
        <f>=AVERAGE(F45:F54)</f>
      </c>
    </row>
    <row r="58">
      <c r="A58" s="6" t="s">
        <v>162</v>
      </c>
    </row>
    <row r="59">
      <c r="A59" s="6" t="s">
        <v>93</v>
      </c>
      <c r="B59" s="6" t="s">
        <v>94</v>
      </c>
      <c r="C59" s="6" t="s">
        <v>95</v>
      </c>
      <c r="D59" s="6" t="s">
        <v>0</v>
      </c>
      <c r="E59" s="6" t="s">
        <v>96</v>
      </c>
      <c r="F59" s="6" t="s">
        <v>97</v>
      </c>
    </row>
    <row r="60">
      <c r="B60" s="0">
        <f>=IFERROR(INDEX('CLEAN'!$E$2:$E$9999,1),"")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=IFERROR(INDEX('CLEAN'!$E$2:$E$9999,2),"")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=IFERROR(INDEX('CLEAN'!$E$2:$E$9999,3),"")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=IFERROR(INDEX('CLEAN'!$E$2:$E$9999,4),"")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=IFERROR(INDEX('CLEAN'!$E$2:$E$9999,5),"")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=IFERROR(INDEX('CLEAN'!$E$2:$E$9999,6),"")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=IFERROR(INDEX('CLEAN'!$E$2:$E$9999,7),"")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=IFERROR(INDEX('CLEAN'!$E$2:$E$9999,8),"")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=IFERROR(INDEX('CLEAN'!$E$2:$E$9999,9),"")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=IFERROR(INDEX('CLEAN'!$E$2:$E$9999,10),"")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98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59"/>
    <hyperlink ref="D2" r:id="rId60"/>
    <hyperlink ref="C3" r:id="rId61"/>
    <hyperlink ref="D3" r:id="rId62"/>
    <hyperlink ref="C4" r:id="rId63"/>
    <hyperlink ref="D4" r:id="rId64"/>
    <hyperlink ref="C5" r:id="rId65"/>
    <hyperlink ref="D5" r:id="rId66"/>
    <hyperlink ref="C6" r:id="rId67"/>
    <hyperlink ref="D6" r:id="rId68"/>
    <hyperlink ref="C7" r:id="rId69"/>
    <hyperlink ref="D7" r:id="rId70"/>
    <hyperlink ref="C8" r:id="rId71"/>
    <hyperlink ref="D8" r:id="rId72"/>
    <hyperlink ref="C9" r:id="rId73"/>
    <hyperlink ref="D9" r:id="rId74"/>
    <hyperlink ref="C10" r:id="rId75"/>
    <hyperlink ref="D10" r:id="rId76"/>
    <hyperlink ref="C11" r:id="rId77"/>
    <hyperlink ref="D11" r:id="rId78"/>
  </hyperlink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16.3913974761963" customWidth="1"/>
    <col min="2" max="2" width="34.2868576049805" customWidth="1"/>
    <col min="3" max="3" width="44.5809326171875" customWidth="1"/>
    <col min="4" max="4" width="79.7068481445313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34.7850875854492" customWidth="1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  <c r="K1" s="0" t="s">
        <v>58</v>
      </c>
      <c r="L1" s="0" t="s">
        <v>59</v>
      </c>
      <c r="M1" s="0" t="s">
        <v>60</v>
      </c>
      <c r="N1" s="0" t="s">
        <v>61</v>
      </c>
    </row>
    <row r="2">
      <c r="A2" s="0" t="s">
        <v>39</v>
      </c>
      <c r="B2" s="0" t="s">
        <v>163</v>
      </c>
      <c r="C2" s="5" t="s">
        <v>164</v>
      </c>
      <c r="D2" s="5" t="s">
        <v>64</v>
      </c>
      <c r="E2" s="0">
        <v>400</v>
      </c>
      <c r="F2" s="0">
        <v>30</v>
      </c>
      <c r="G2" s="0">
        <v>166</v>
      </c>
      <c r="H2" s="0">
        <v>1</v>
      </c>
      <c r="I2" s="0">
        <v>100</v>
      </c>
      <c r="J2" s="0">
        <v>0.345</v>
      </c>
      <c r="K2" s="0">
        <v>0.6</v>
      </c>
      <c r="L2" s="0">
        <v>0.25</v>
      </c>
      <c r="M2" s="0">
        <v>0</v>
      </c>
      <c r="N2" s="0" t="s">
        <v>7</v>
      </c>
    </row>
    <row r="3">
      <c r="A3" s="0" t="s">
        <v>40</v>
      </c>
      <c r="B3" s="0" t="s">
        <v>165</v>
      </c>
      <c r="C3" s="5" t="s">
        <v>166</v>
      </c>
      <c r="D3" s="5" t="s">
        <v>67</v>
      </c>
      <c r="H3" s="0">
        <v>2</v>
      </c>
      <c r="I3" s="0">
        <v>99.5</v>
      </c>
      <c r="N3" s="0" t="s">
        <v>10</v>
      </c>
    </row>
    <row r="4">
      <c r="A4" s="0" t="s">
        <v>40</v>
      </c>
      <c r="B4" s="0" t="s">
        <v>167</v>
      </c>
      <c r="C4" s="5" t="s">
        <v>168</v>
      </c>
      <c r="D4" s="5" t="s">
        <v>82</v>
      </c>
      <c r="H4" s="0">
        <v>3</v>
      </c>
      <c r="I4" s="0">
        <v>99</v>
      </c>
      <c r="N4" s="0" t="s">
        <v>9</v>
      </c>
    </row>
    <row r="5">
      <c r="A5" s="0" t="s">
        <v>44</v>
      </c>
      <c r="B5" s="0" t="s">
        <v>169</v>
      </c>
      <c r="C5" s="5" t="s">
        <v>170</v>
      </c>
      <c r="D5" s="5" t="s">
        <v>171</v>
      </c>
      <c r="H5" s="0">
        <v>4</v>
      </c>
      <c r="I5" s="0">
        <v>98.5</v>
      </c>
      <c r="N5" s="0" t="s">
        <v>16</v>
      </c>
    </row>
    <row r="6">
      <c r="A6" s="0" t="s">
        <v>40</v>
      </c>
      <c r="B6" s="0" t="s">
        <v>172</v>
      </c>
      <c r="C6" s="5" t="s">
        <v>173</v>
      </c>
      <c r="D6" s="5" t="s">
        <v>174</v>
      </c>
      <c r="H6" s="0">
        <v>5</v>
      </c>
      <c r="I6" s="0">
        <v>98</v>
      </c>
      <c r="N6" s="0" t="s">
        <v>20</v>
      </c>
    </row>
    <row r="7">
      <c r="A7" s="0" t="s">
        <v>45</v>
      </c>
      <c r="B7" s="0" t="s">
        <v>175</v>
      </c>
      <c r="C7" s="5" t="s">
        <v>176</v>
      </c>
      <c r="D7" s="5" t="s">
        <v>177</v>
      </c>
      <c r="H7" s="0">
        <v>6</v>
      </c>
      <c r="I7" s="0">
        <v>97.5</v>
      </c>
      <c r="N7" s="0" t="s">
        <v>24</v>
      </c>
    </row>
    <row r="8">
      <c r="A8" s="0" t="s">
        <v>40</v>
      </c>
      <c r="B8" s="0" t="s">
        <v>178</v>
      </c>
      <c r="C8" s="5" t="s">
        <v>179</v>
      </c>
      <c r="D8" s="5" t="s">
        <v>180</v>
      </c>
      <c r="H8" s="0">
        <v>7</v>
      </c>
      <c r="I8" s="0">
        <v>97</v>
      </c>
      <c r="N8" s="0" t="s">
        <v>25</v>
      </c>
    </row>
    <row r="9">
      <c r="A9" s="0" t="s">
        <v>43</v>
      </c>
      <c r="B9" s="0" t="s">
        <v>181</v>
      </c>
      <c r="C9" s="5" t="s">
        <v>182</v>
      </c>
      <c r="D9" s="5" t="s">
        <v>73</v>
      </c>
      <c r="H9" s="0">
        <v>8</v>
      </c>
      <c r="I9" s="0">
        <v>96.5</v>
      </c>
      <c r="N9" s="0" t="s">
        <v>14</v>
      </c>
    </row>
    <row r="10">
      <c r="A10" s="0" t="s">
        <v>40</v>
      </c>
      <c r="B10" s="0" t="s">
        <v>183</v>
      </c>
      <c r="C10" s="5" t="s">
        <v>184</v>
      </c>
      <c r="D10" s="5" t="s">
        <v>85</v>
      </c>
      <c r="H10" s="0">
        <v>9</v>
      </c>
      <c r="I10" s="0">
        <v>96</v>
      </c>
      <c r="N10" s="0" t="s">
        <v>33</v>
      </c>
    </row>
    <row r="11">
      <c r="A11" s="0" t="s">
        <v>42</v>
      </c>
      <c r="B11" s="0" t="s">
        <v>185</v>
      </c>
      <c r="C11" s="5" t="s">
        <v>186</v>
      </c>
      <c r="D11" s="5" t="s">
        <v>187</v>
      </c>
      <c r="H11" s="0">
        <v>10</v>
      </c>
      <c r="I11" s="0">
        <v>95.5</v>
      </c>
      <c r="N11" s="0" t="s">
        <v>38</v>
      </c>
    </row>
    <row r="13">
      <c r="A13" s="6" t="s">
        <v>188</v>
      </c>
    </row>
    <row r="14">
      <c r="A14" s="6" t="s">
        <v>93</v>
      </c>
      <c r="B14" s="6" t="s">
        <v>94</v>
      </c>
      <c r="C14" s="6" t="s">
        <v>95</v>
      </c>
      <c r="D14" s="6" t="s">
        <v>0</v>
      </c>
      <c r="E14" s="6" t="s">
        <v>96</v>
      </c>
      <c r="F14" s="6" t="s">
        <v>97</v>
      </c>
    </row>
    <row r="15">
      <c r="B15" s="0">
        <f>=IFERROR(INDEX('CLEAN'!$F$2:$F$9999,1),"")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=IFERROR(INDEX('CLEAN'!$F$2:$F$9999,2),"")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=IFERROR(INDEX('CLEAN'!$F$2:$F$9999,3),"")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=IFERROR(INDEX('CLEAN'!$F$2:$F$9999,4),"")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=IFERROR(INDEX('CLEAN'!$F$2:$F$9999,5),"")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=IFERROR(INDEX('CLEAN'!$F$2:$F$9999,6),"")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=IFERROR(INDEX('CLEAN'!$F$2:$F$9999,7),"")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=IFERROR(INDEX('CLEAN'!$F$2:$F$9999,8),"")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=IFERROR(INDEX('CLEAN'!$F$2:$F$9999,9),"")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=IFERROR(INDEX('CLEAN'!$F$2:$F$9999,10),"")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98</v>
      </c>
      <c r="F26" s="6">
        <f>=AVERAGE(F15:F24)</f>
      </c>
    </row>
    <row r="28">
      <c r="A28" s="6" t="s">
        <v>189</v>
      </c>
    </row>
    <row r="29">
      <c r="A29" s="6" t="s">
        <v>93</v>
      </c>
      <c r="B29" s="6" t="s">
        <v>94</v>
      </c>
      <c r="C29" s="6" t="s">
        <v>95</v>
      </c>
      <c r="D29" s="6" t="s">
        <v>0</v>
      </c>
      <c r="E29" s="6" t="s">
        <v>96</v>
      </c>
      <c r="F29" s="6" t="s">
        <v>97</v>
      </c>
    </row>
    <row r="30">
      <c r="B30" s="0">
        <f>=IFERROR(INDEX('CLEAN'!$F$2:$F$9999,1),"")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=IFERROR(INDEX('CLEAN'!$F$2:$F$9999,2),"")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=IFERROR(INDEX('CLEAN'!$F$2:$F$9999,3),"")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=IFERROR(INDEX('CLEAN'!$F$2:$F$9999,4),"")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=IFERROR(INDEX('CLEAN'!$F$2:$F$9999,5),"")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=IFERROR(INDEX('CLEAN'!$F$2:$F$9999,6),"")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=IFERROR(INDEX('CLEAN'!$F$2:$F$9999,7),"")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=IFERROR(INDEX('CLEAN'!$F$2:$F$9999,8),"")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=IFERROR(INDEX('CLEAN'!$F$2:$F$9999,9),"")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=IFERROR(INDEX('CLEAN'!$F$2:$F$9999,10),"")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98</v>
      </c>
      <c r="F41" s="6">
        <f>=AVERAGE(F30:F39)</f>
      </c>
    </row>
    <row r="43">
      <c r="A43" s="6" t="s">
        <v>190</v>
      </c>
    </row>
    <row r="44">
      <c r="A44" s="6" t="s">
        <v>93</v>
      </c>
      <c r="B44" s="6" t="s">
        <v>94</v>
      </c>
      <c r="C44" s="6" t="s">
        <v>95</v>
      </c>
      <c r="D44" s="6" t="s">
        <v>0</v>
      </c>
      <c r="E44" s="6" t="s">
        <v>96</v>
      </c>
      <c r="F44" s="6" t="s">
        <v>97</v>
      </c>
    </row>
    <row r="45">
      <c r="B45" s="0">
        <f>=IFERROR(INDEX('CLEAN'!$F$2:$F$9999,1),"")</f>
      </c>
      <c r="C45" s="0">
        <f>=IFERROR(INDEX('CLEAN'!$D$2:$D$9999,1),"")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=IFERROR(INDEX('CLEAN'!$F$2:$F$9999,2),"")</f>
      </c>
      <c r="C46" s="0">
        <f>=IFERROR(INDEX('CLEAN'!$D$2:$D$9999,2),"")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=IFERROR(INDEX('CLEAN'!$F$2:$F$9999,3),"")</f>
      </c>
      <c r="C47" s="0">
        <f>=IFERROR(INDEX('CLEAN'!$D$2:$D$9999,3),"")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=IFERROR(INDEX('CLEAN'!$F$2:$F$9999,4),"")</f>
      </c>
      <c r="C48" s="0">
        <f>=IFERROR(INDEX('CLEAN'!$D$2:$D$9999,4),"")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=IFERROR(INDEX('CLEAN'!$F$2:$F$9999,5),"")</f>
      </c>
      <c r="C49" s="0">
        <f>=IFERROR(INDEX('CLEAN'!$D$2:$D$9999,5),"")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=IFERROR(INDEX('CLEAN'!$F$2:$F$9999,6),"")</f>
      </c>
      <c r="C50" s="0">
        <f>=IFERROR(INDEX('CLEAN'!$D$2:$D$9999,6),"")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=IFERROR(INDEX('CLEAN'!$F$2:$F$9999,7),"")</f>
      </c>
      <c r="C51" s="0">
        <f>=IFERROR(INDEX('CLEAN'!$D$2:$D$9999,7),"")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=IFERROR(INDEX('CLEAN'!$F$2:$F$9999,8),"")</f>
      </c>
      <c r="C52" s="0">
        <f>=IFERROR(INDEX('CLEAN'!$D$2:$D$9999,8),"")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=IFERROR(INDEX('CLEAN'!$F$2:$F$9999,9),"")</f>
      </c>
      <c r="C53" s="0">
        <f>=IFERROR(INDEX('CLEAN'!$D$2:$D$9999,9),"")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=IFERROR(INDEX('CLEAN'!$F$2:$F$9999,10),"")</f>
      </c>
      <c r="C54" s="0">
        <f>=IFERROR(INDEX('CLEAN'!$D$2:$D$9999,10),"")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98</v>
      </c>
      <c r="F56" s="6">
        <f>=AVERAGE(F45:F54)</f>
      </c>
    </row>
    <row r="58">
      <c r="A58" s="6" t="s">
        <v>191</v>
      </c>
    </row>
    <row r="59">
      <c r="A59" s="6" t="s">
        <v>93</v>
      </c>
      <c r="B59" s="6" t="s">
        <v>94</v>
      </c>
      <c r="C59" s="6" t="s">
        <v>95</v>
      </c>
      <c r="D59" s="6" t="s">
        <v>0</v>
      </c>
      <c r="E59" s="6" t="s">
        <v>96</v>
      </c>
      <c r="F59" s="6" t="s">
        <v>97</v>
      </c>
    </row>
    <row r="60">
      <c r="B60" s="0">
        <f>=IFERROR(INDEX('CLEAN'!$F$2:$F$9999,1),"")</f>
      </c>
      <c r="C60" s="0">
        <f>=IFERROR(INDEX('CLEAN'!$E$2:$E$9999,1),"")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=IFERROR(INDEX('CLEAN'!$F$2:$F$9999,2),"")</f>
      </c>
      <c r="C61" s="0">
        <f>=IFERROR(INDEX('CLEAN'!$E$2:$E$9999,2),"")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=IFERROR(INDEX('CLEAN'!$F$2:$F$9999,3),"")</f>
      </c>
      <c r="C62" s="0">
        <f>=IFERROR(INDEX('CLEAN'!$E$2:$E$9999,3),"")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=IFERROR(INDEX('CLEAN'!$F$2:$F$9999,4),"")</f>
      </c>
      <c r="C63" s="0">
        <f>=IFERROR(INDEX('CLEAN'!$E$2:$E$9999,4),"")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=IFERROR(INDEX('CLEAN'!$F$2:$F$9999,5),"")</f>
      </c>
      <c r="C64" s="0">
        <f>=IFERROR(INDEX('CLEAN'!$E$2:$E$9999,5),"")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=IFERROR(INDEX('CLEAN'!$F$2:$F$9999,6),"")</f>
      </c>
      <c r="C65" s="0">
        <f>=IFERROR(INDEX('CLEAN'!$E$2:$E$9999,6),"")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=IFERROR(INDEX('CLEAN'!$F$2:$F$9999,7),"")</f>
      </c>
      <c r="C66" s="0">
        <f>=IFERROR(INDEX('CLEAN'!$E$2:$E$9999,7),"")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=IFERROR(INDEX('CLEAN'!$F$2:$F$9999,8),"")</f>
      </c>
      <c r="C67" s="0">
        <f>=IFERROR(INDEX('CLEAN'!$E$2:$E$9999,8),"")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=IFERROR(INDEX('CLEAN'!$F$2:$F$9999,9),"")</f>
      </c>
      <c r="C68" s="0">
        <f>=IFERROR(INDEX('CLEAN'!$E$2:$E$9999,9),"")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=IFERROR(INDEX('CLEAN'!$F$2:$F$9999,10),"")</f>
      </c>
      <c r="C69" s="0">
        <f>=IFERROR(INDEX('CLEAN'!$E$2:$E$9999,10),"")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98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40"/>
    <hyperlink ref="D2" r:id="rId41"/>
    <hyperlink ref="C3" r:id="rId42"/>
    <hyperlink ref="D3" r:id="rId43"/>
    <hyperlink ref="C4" r:id="rId44"/>
    <hyperlink ref="D4" r:id="rId45"/>
    <hyperlink ref="C5" r:id="rId46"/>
    <hyperlink ref="D5" r:id="rId47"/>
    <hyperlink ref="C6" r:id="rId48"/>
    <hyperlink ref="D6" r:id="rId49"/>
    <hyperlink ref="C7" r:id="rId50"/>
    <hyperlink ref="D7" r:id="rId51"/>
    <hyperlink ref="C8" r:id="rId52"/>
    <hyperlink ref="D8" r:id="rId53"/>
    <hyperlink ref="C9" r:id="rId54"/>
    <hyperlink ref="D9" r:id="rId55"/>
    <hyperlink ref="C10" r:id="rId56"/>
    <hyperlink ref="D10" r:id="rId57"/>
    <hyperlink ref="C11" r:id="rId58"/>
    <hyperlink ref="D11" r:id="rId59"/>
  </hyperlinks>
  <headerFooter/>
</worksheet>
</file>