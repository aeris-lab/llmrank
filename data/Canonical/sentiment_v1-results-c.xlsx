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CLEAN" sheetId="2" r:id="rId3"/>
    <sheet name="GPT" sheetId="3" r:id="rId4"/>
    <sheet name="CLAUDE" sheetId="4" r:id="rId5"/>
    <sheet name="GEMINI" sheetId="5" r:id="rId6"/>
    <sheet name="DEEPSEEK" sheetId="6" r:id="rId7"/>
    <sheet name="MISTRAL" sheetId="7" r:id="rId8"/>
  </sheets>
  <calcPr fullCalcOnLoad="1"/>
</workbook>
</file>

<file path=xl/sharedStrings.xml><?xml version="1.0" encoding="utf-8"?>
<sst xmlns="http://schemas.openxmlformats.org/spreadsheetml/2006/main" count="238" uniqueCount="238">
  <si>
    <t>k</t>
  </si>
  <si>
    <t>GPT</t>
  </si>
  <si>
    <t>CLAUDE</t>
  </si>
  <si>
    <t>GEMINI</t>
  </si>
  <si>
    <t>DEEPSEEK</t>
  </si>
  <si>
    <t>MISTRAL</t>
  </si>
  <si>
    <t>Hugging Face Inference API " DistilBERT SST-2</t>
  </si>
  <si>
    <t>Google Cloud Natural Language API - Sentiment Analysis</t>
  </si>
  <si>
    <t>Text-Processing Sentiment Analysis</t>
  </si>
  <si>
    <t>Hugging Face Inference API - Sentiment Analysis</t>
  </si>
  <si>
    <t>Google Cloud Natural Language Sentiment Analysis</t>
  </si>
  <si>
    <t>Hugging Face Inference API " SiEBERT RoBERTa (EN)</t>
  </si>
  <si>
    <t>Amazon Comprehend - DetectSentiment</t>
  </si>
  <si>
    <t>Sentiment Analysis API (by sentiment-analysis-api)</t>
  </si>
  <si>
    <t>Azure AI Text Analytics Sentiment</t>
  </si>
  <si>
    <t>Hugging Face Inference API " Twitter RoBERTa (latest)</t>
  </si>
  <si>
    <t>Microsoft Azure Cognitive Services - Text Analytics Sentiment</t>
  </si>
  <si>
    <t>API-Ninjas NLP API (Sentiment)</t>
  </si>
  <si>
    <t>Azure Text Analytics - Sentiment Analysis</t>
  </si>
  <si>
    <t>Oracle Cloud Language Sentiment Analysis</t>
  </si>
  <si>
    <t>Hugging Face Inference API " Multilingual (NLPTown 1"5 Stars)</t>
  </si>
  <si>
    <t>IBM Watson Natural Language Understanding - Sentiment</t>
  </si>
  <si>
    <t>Sentiment Analysis Multi-language (by Bert-Models)</t>
  </si>
  <si>
    <t>Amazon Comprehend - Detect Sentiment</t>
  </si>
  <si>
    <t>Zyla Labs Multilingual Sentiment Analysis</t>
  </si>
  <si>
    <t>Hugging Face Inference API " BERTweet Sentiment (EN)</t>
  </si>
  <si>
    <t>HuggingFace Inference API - Sentiment Analysis</t>
  </si>
  <si>
    <t>TextAPIs.ai (formerly Aylien Text Analysis)</t>
  </si>
  <si>
    <t>MeaningCloud Sentiment Analysis</t>
  </si>
  <si>
    <t>Deepgram Text Sentiment Analysis</t>
  </si>
  <si>
    <t>Hugging Face Inference API " ProsusAI FinBERT (Finance)</t>
  </si>
  <si>
    <t>MeaningCloud Sentiment Analysis API</t>
  </si>
  <si>
    <t>TheTextAPI Sentiment Analysis</t>
  </si>
  <si>
    <t>MonkeyLearn Sentiment Analysis</t>
  </si>
  <si>
    <t>Hugging Face Inference API " FinBERT-Tone (Finance)</t>
  </si>
  <si>
    <t>ParallelDots Sentiment Analysis API</t>
  </si>
  <si>
    <t>IBM Watson Natural Language Understanding</t>
  </si>
  <si>
    <t>ParallelDots Sentiment Analysis</t>
  </si>
  <si>
    <t>IBM Watson Natural Language Understanding Sentiment</t>
  </si>
  <si>
    <t>Hugging Face Inference API " Twitter RoBERTa (base)</t>
  </si>
  <si>
    <t>Twinword Sentiment Analysis API</t>
  </si>
  <si>
    <t>TextRazor Sentiment Analysis</t>
  </si>
  <si>
    <t>AWS Comprehend Sentiment Analysis</t>
  </si>
  <si>
    <t>Hugging Face Inference API " DistilBERT SST-2 (OpenVINO int8 variant)</t>
  </si>
  <si>
    <t>AYLIEN Text Analysis API - Sentiment</t>
  </si>
  <si>
    <t>Amazon Comprehend</t>
  </si>
  <si>
    <t>AYLIEN Text Analysis - Sentiment</t>
  </si>
  <si>
    <t>Twinword Sentiment Analysis (RapidAPI)</t>
  </si>
  <si>
    <t>IBM Watson Natural Language Understanding " Sentiment</t>
  </si>
  <si>
    <t>Tabularis AI Multilingual Sentiment Analysis</t>
  </si>
  <si>
    <t>Azure Cognitive Service for Language</t>
  </si>
  <si>
    <t>Dandelion Sentiment Analysis</t>
  </si>
  <si>
    <t>Hugging Face Face API</t>
  </si>
  <si>
    <t>Language API</t>
  </si>
  <si>
    <t>Text-processing Text API</t>
  </si>
  <si>
    <t>Docs API</t>
  </si>
  <si>
    <t>Sentiment-analysis-api API</t>
  </si>
  <si>
    <t>Learn Text API</t>
  </si>
  <si>
    <t>Nlp-api API</t>
  </si>
  <si>
    <t>Your_resource_name Text API</t>
  </si>
  <si>
    <t>Cloud API</t>
  </si>
  <si>
    <t>Sentiment-analysis-multi-language API</t>
  </si>
  <si>
    <t>Comprehend API</t>
  </si>
  <si>
    <t>Zylalabs API</t>
  </si>
  <si>
    <t>Api Text API</t>
  </si>
  <si>
    <t>Api API</t>
  </si>
  <si>
    <t>Apis API</t>
  </si>
  <si>
    <t>Twinword-sentiment-analysis API</t>
  </si>
  <si>
    <t>Your-resource-name API</t>
  </si>
  <si>
    <t>Service 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</si>
  <si>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</si>
  <si>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</si>
  <si>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</si>
  <si>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</si>
  <si>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</si>
  <si>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</si>
  <si>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</si>
  <si>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</si>
  <si>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</si>
  <si>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</si>
  <si>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</si>
  <si>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</si>
  <si>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ORIGINAL_NAME</t>
  </si>
  <si>
    <t>huggingface__inference_distilbert-sst2</t>
  </si>
  <si>
    <t>https://api-inference.huggingface.co/models/distilbert/distilbert-base-uncased-finetuned-sst-2-english</t>
  </si>
  <si>
    <t>https://huggingface.co/distilbert/distilbert-base-uncased-finetuned-sst-2-english</t>
  </si>
  <si>
    <t>huggingface__inference_siebert-roberta-en</t>
  </si>
  <si>
    <t>https://api-inference.huggingface.co/models/siebert/sentiment-roberta-large-english</t>
  </si>
  <si>
    <t>https://huggingface.co/siebert/sentiment-roberta-large-english</t>
  </si>
  <si>
    <t>huggingface__inference_cardiffnlp-twitter-roberta-latest</t>
  </si>
  <si>
    <t>https://api-inference.huggingface.co/models/cardiffnlp/twitter-roberta-base-sentiment-latest</t>
  </si>
  <si>
    <t>https://huggingface.co/cardiffnlp/twitter-roberta-base-sentiment-latest</t>
  </si>
  <si>
    <t>huggingface__inference_nlptown-bert-multilingual-stars</t>
  </si>
  <si>
    <t>https://api-inference.huggingface.co/models/nlptown/bert-base-multilingual-uncased-sentiment</t>
  </si>
  <si>
    <t>https://huggingface.co/nlptown/bert-base-multilingual-uncased-sentiment</t>
  </si>
  <si>
    <t>huggingface__inference_finiteautomata-bertweet</t>
  </si>
  <si>
    <t>https://api-inference.huggingface.co/models/finiteautomata/bertweet-base-sentiment-analysis</t>
  </si>
  <si>
    <t>https://huggingface.co/finiteautomata/bertweet-base-sentiment-analysis</t>
  </si>
  <si>
    <t>huggingface__inference_prosusai-finbert</t>
  </si>
  <si>
    <t>https://api-inference.huggingface.co/models/ProsusAI/finbert</t>
  </si>
  <si>
    <t>https://huggingface.co/ProsusAI/finbert</t>
  </si>
  <si>
    <t>huggingface__inference_yiyanghkust-finbert-tone</t>
  </si>
  <si>
    <t>https://api-inference.huggingface.co/models/yiyanghkust/finbert-tone</t>
  </si>
  <si>
    <t>https://huggingface.co/yiyanghkust/finbert-tone</t>
  </si>
  <si>
    <t>huggingface__inference_cardiffnlp-twitter-roberta-base</t>
  </si>
  <si>
    <t>https://api-inference.huggingface.co/models/cardiffnlp/twitter-roberta-base-sentiment</t>
  </si>
  <si>
    <t>https://huggingface.co/cardiffnlp/twitter-roberta-base-sentiment</t>
  </si>
  <si>
    <t>huggingface__inference_distilbert-sst2-variant</t>
  </si>
  <si>
    <t>https://api-inference.huggingface.co/models/helenai/distilbert-base-uncased-finetuned-sst-2-english-ov-int8</t>
  </si>
  <si>
    <t>https://huggingface.co/helenai/distilbert-base-uncased-finetuned-sst-2-english-ov-int8</t>
  </si>
  <si>
    <t>ibm__nlu_sentiment</t>
  </si>
  <si>
    <t>https://api.us-south.natural-language-understanding.watson.cloud.ibm.com</t>
  </si>
  <si>
    <t>https://cloud.ibm.com/apidocs/natural-language-understanding</t>
  </si>
  <si>
    <t>OVERLAP GPT vs CLAUDE</t>
  </si>
  <si>
    <t>Comparison</t>
  </si>
  <si>
    <t>A_Name</t>
  </si>
  <si>
    <t>B_Original</t>
  </si>
  <si>
    <t>OverlapCount</t>
  </si>
  <si>
    <t>Overlap</t>
  </si>
  <si>
    <t>AO</t>
  </si>
  <si>
    <t>OVERLAP GPT vs GEMINI</t>
  </si>
  <si>
    <t>OVERLAP GPT vs DEEPSEEK</t>
  </si>
  <si>
    <t>OVERLAP GPT vs MISTRAL</t>
  </si>
  <si>
    <t>google__cloud-natural-language-sentiment</t>
  </si>
  <si>
    <t>https://language.googleapis.com</t>
  </si>
  <si>
    <t>https://cloud.google.com/natural-language/docs/analyzing-sentiment</t>
  </si>
  <si>
    <t>aws__comprehend-sentiment</t>
  </si>
  <si>
    <t>https://comprehend.{region}.amazonaws.com</t>
  </si>
  <si>
    <t>https://docs.aws.amazon.com/comprehend/latest/APIReference/API_DetectSentiment.html</t>
  </si>
  <si>
    <t>microsoft__azure-text-analytics-sentiment</t>
  </si>
  <si>
    <t>https://{endpoint}.cognitiveservices.azure.com</t>
  </si>
  <si>
    <t>https://learn.microsoft.com/en-us/azure/ai-services/language-service/sentiment-opinion-mining/quickstart</t>
  </si>
  <si>
    <t>ibm__watson-nlu-sentiment</t>
  </si>
  <si>
    <t>https://api.{region}.natural-language-understanding.watson.cloud.ibm.com</t>
  </si>
  <si>
    <t>huggingface__inference-api-sentiment</t>
  </si>
  <si>
    <t>https://api-inference.huggingface.co</t>
  </si>
  <si>
    <t>https://huggingface.co/docs/api-inference/index</t>
  </si>
  <si>
    <t>meaningcloud__sentiment-analysis</t>
  </si>
  <si>
    <t>https://api.meaningcloud.com</t>
  </si>
  <si>
    <t>https://www.meaningcloud.com/developer/sentiment-analysis</t>
  </si>
  <si>
    <t>paralleldots__sentiment-api</t>
  </si>
  <si>
    <t>https://apis.paralleldots.com</t>
  </si>
  <si>
    <t>https://www.paralleldots.com/text-analysis-apis</t>
  </si>
  <si>
    <t>twinword__sentiment-analysis</t>
  </si>
  <si>
    <t>https://twinword-sentiment-analysis.p.rapidapi.com</t>
  </si>
  <si>
    <t>https://www.twinword.com/api/sentiment-analysis.php</t>
  </si>
  <si>
    <t>aylien__text-api-sentiment</t>
  </si>
  <si>
    <t>https://api.aylien.com</t>
  </si>
  <si>
    <t>https://docs.aylien.com/textapi</t>
  </si>
  <si>
    <t>tabularis__multilingual-sentiment</t>
  </si>
  <si>
    <t>https://api.tabularis.ai</t>
  </si>
  <si>
    <t>https://huggingface.co/tabularisai/multilingual-sentiment-analysis</t>
  </si>
  <si>
    <t>OVERLAP CLAUDE vs GPT</t>
  </si>
  <si>
    <t>OVERLAP CLAUDE vs GEMINI</t>
  </si>
  <si>
    <t>OVERLAP CLAUDE vs DEEPSEEK</t>
  </si>
  <si>
    <t>OVERLAP CLAUDE vs MISTRAL</t>
  </si>
  <si>
    <t>rapidapi__text_processing_sentiment</t>
  </si>
  <si>
    <t>https://text-processing.p.rapidapi.com</t>
  </si>
  <si>
    <t>https://rapidapi.com/text-processing/api/sentiment-analysis</t>
  </si>
  <si>
    <t>rapidapi__sentiment_analysis_api_sentiment</t>
  </si>
  <si>
    <t>https://sentiment-analysis-api.p.rapidapi.com</t>
  </si>
  <si>
    <t>https://rapidapi.com/sentiment-analysis-api/api/sentiment-analysis</t>
  </si>
  <si>
    <t>rapidapi__api_ninjas_nlp</t>
  </si>
  <si>
    <t>https://nlp-api.p.rapidapi.com</t>
  </si>
  <si>
    <t>https://rapidapi.com/api-ninjas/api/nlp-api/</t>
  </si>
  <si>
    <t>rapidapi__bert_models_sentiment</t>
  </si>
  <si>
    <t>https://sentiment-analysis-multi-language.p.rapidapi.com</t>
  </si>
  <si>
    <t>https://rapidapi.com/bert-models/api/sentiment-analysis-multi-language/</t>
  </si>
  <si>
    <t>textapis_ai__legacy_aylien_sentiment</t>
  </si>
  <si>
    <t>https://api.textapis.ai</t>
  </si>
  <si>
    <t>https://docs.textapis.ai/api/v1/sentiment-analysis</t>
  </si>
  <si>
    <t>thetextapi__sentiment</t>
  </si>
  <si>
    <t>https://api.thetextapi.com</t>
  </si>
  <si>
    <t>https://www.thetextapi.com/docs/sentiment-analysis-api</t>
  </si>
  <si>
    <t>ibm__watson_nlu_sentiment</t>
  </si>
  <si>
    <t>https://cloud.ibm.com/apidocs/natural-language-understanding#sentiment</t>
  </si>
  <si>
    <t>monkeylearn__sentiment_classifier</t>
  </si>
  <si>
    <t>https://api.monkeylearn.com</t>
  </si>
  <si>
    <t>https://monkeylearn.com/api/v3/classifiers/cl_pi3C7JiL/classify/</t>
  </si>
  <si>
    <t>aws__comprehend_sentiment</t>
  </si>
  <si>
    <t>https://comprehend.us-east-1.amazonaws.com</t>
  </si>
  <si>
    <t>https://docs.aws.amazon.com/comprehend/latest/dg/API_DetectSentiment.html</t>
  </si>
  <si>
    <t>azure__cognitive_language_sentiment</t>
  </si>
  <si>
    <t>https://YOUR-RESOURCE-NAME.cognitiveservices.azure.com</t>
  </si>
  <si>
    <t>https://learn.microsoft.com/en-us/rest/api/language/text-analytics-runtime/sentiment-analysis</t>
  </si>
  <si>
    <t>OVERLAP GEMINI vs GPT</t>
  </si>
  <si>
    <t>OVERLAP GEMINI vs CLAUDE</t>
  </si>
  <si>
    <t>OVERLAP GEMINI vs DEEPSEEK</t>
  </si>
  <si>
    <t>OVERLAP GEMINI vs MISTRAL</t>
  </si>
  <si>
    <t>huggingface__sentiment-analysis</t>
  </si>
  <si>
    <t>https://huggingface.co/docs/api-inference/detailed_parameters#sentiment-analysis-task</t>
  </si>
  <si>
    <t>google_cloud__natural-language_sentiment</t>
  </si>
  <si>
    <t>microsoft_azure__text-analytics_sentiment</t>
  </si>
  <si>
    <t>https://YOUR_RESOURCE_NAME.cognitiveservices.azure.com</t>
  </si>
  <si>
    <t>https://learn.microsoft.com/en-us/azure/ai-services/language-service/sentiment-opinion-mining/overview</t>
  </si>
  <si>
    <t>amazon_aws__comprehend_sentiment</t>
  </si>
  <si>
    <t>monkeylearn__sentiment-analysis</t>
  </si>
  <si>
    <t>https://monkeylearn.com/api/v3/#sentiment-analysis</t>
  </si>
  <si>
    <t>parallel_dots__sentiment-analysis</t>
  </si>
  <si>
    <t>https://www.paralleldots.com/sentiment-analysis</t>
  </si>
  <si>
    <t>textrazor__sentiment-analysis</t>
  </si>
  <si>
    <t>https://api.textrazor.com</t>
  </si>
  <si>
    <t>https://www.textrazor.com/sentiment_analysis</t>
  </si>
  <si>
    <t>aylien__sentiment-analysis</t>
  </si>
  <si>
    <t>https://docs.aylien.com/textapi/endpoints/#sentiment-analysis</t>
  </si>
  <si>
    <t>dandelion__sentiment-analysis</t>
  </si>
  <si>
    <t>https://api.dandelion.eu</t>
  </si>
  <si>
    <t>https://dandelion.eu/docs/api/datatxt/sent/v1/</t>
  </si>
  <si>
    <t>OVERLAP DEEPSEEK vs GPT</t>
  </si>
  <si>
    <t>OVERLAP DEEPSEEK vs CLAUDE</t>
  </si>
  <si>
    <t>OVERLAP DEEPSEEK vs GEMINI</t>
  </si>
  <si>
    <t>OVERLAP DEEPSEEK vs MISTRAL</t>
  </si>
  <si>
    <t>google__natural_language_sentiment</t>
  </si>
  <si>
    <t>https://language.googleapis.com/v2</t>
  </si>
  <si>
    <t>microsoft__azure_text_analytics_sentiment</t>
  </si>
  <si>
    <t>https://&lt;your-resource-name&gt;.cognitiveservices.azure.com</t>
  </si>
  <si>
    <t>https://learn.microsoft.com/en-us/azure/ai-services/language-service/sentiment-opinion-mining/how-to/call-api</t>
  </si>
  <si>
    <t>oracle__language_sentiment</t>
  </si>
  <si>
    <t>https://&lt;region-url&gt;.language.oci.oraclecloud.com</t>
  </si>
  <si>
    <t>https://docs.oracle.com/en-us/iaas/language/using/sentment.htm</t>
  </si>
  <si>
    <t>zyla__multilingual_sentiment</t>
  </si>
  <si>
    <t>https://zylalabs.com/api/760</t>
  </si>
  <si>
    <t>https://zylalabs.com/api-marketplace/nlp/multilingual%20sentiment%20analysis%20api/760</t>
  </si>
  <si>
    <t>deepgram__text_sentiment</t>
  </si>
  <si>
    <t>https://api.deepgram.com/v1</t>
  </si>
  <si>
    <t>https://developers.deepgram.com/docs/text-sentiment-analysis</t>
  </si>
  <si>
    <t>meaningcloud__sentiment_analysis</t>
  </si>
  <si>
    <t>ibm__watson_natural_language_understanding</t>
  </si>
  <si>
    <t>https://api.au-syd.natural-language-understanding.watson.cloud.ibm.com</t>
  </si>
  <si>
    <t>https://comprehend.&lt;region&gt;.amazonaws.com</t>
  </si>
  <si>
    <t>https://docs.aws.amazon.com/comprehend/latest/dg/how-sentiment.html</t>
  </si>
  <si>
    <t>rapidapi__twinword_sentiment</t>
  </si>
  <si>
    <t>https://rapidapi.com/twinword/api/sentiment-analysis</t>
  </si>
  <si>
    <t>paralleldots__sentiment_analysis</t>
  </si>
  <si>
    <t>OVERLAP MISTRAL vs GPT</t>
  </si>
  <si>
    <t>OVERLAP MISTRAL vs CLAUDE</t>
  </si>
  <si>
    <t>OVERLAP MISTRAL vs GEMINI</t>
  </si>
  <si>
    <t>OVERLAP MISTRAL vs DEEPSEEK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</si>
</sst>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_rels/sheet3.xml.rels><?xml version="1.0" encoding="UTF-8" standalone="yes"?><Relationships xmlns="http://schemas.openxmlformats.org/package/2006/relationships"><Relationship Id="rId115" Type="http://schemas.openxmlformats.org/officeDocument/2006/relationships/hyperlink" Target="https://cloud.ibm.com/apidocs/natural-language-understanding" TargetMode="External"/><Relationship Id="rId114" Type="http://schemas.openxmlformats.org/officeDocument/2006/relationships/hyperlink" Target="https://api.us-south.natural-language-understanding.watson.cloud.ibm.com/" TargetMode="External"/><Relationship Id="rId113" Type="http://schemas.openxmlformats.org/officeDocument/2006/relationships/hyperlink" Target="https://huggingface.co/helenai/distilbert-base-uncased-finetuned-sst-2-english-ov-int8" TargetMode="External"/><Relationship Id="rId112" Type="http://schemas.openxmlformats.org/officeDocument/2006/relationships/hyperlink" Target="https://api-inference.huggingface.co/models/helenai/distilbert-base-uncased-finetuned-sst-2-english-ov-int8" TargetMode="External"/><Relationship Id="rId111" Type="http://schemas.openxmlformats.org/officeDocument/2006/relationships/hyperlink" Target="https://huggingface.co/cardiffnlp/twitter-roberta-base-sentiment" TargetMode="External"/><Relationship Id="rId110" Type="http://schemas.openxmlformats.org/officeDocument/2006/relationships/hyperlink" Target="https://api-inference.huggingface.co/models/cardiffnlp/twitter-roberta-base-sentiment" TargetMode="External"/><Relationship Id="rId109" Type="http://schemas.openxmlformats.org/officeDocument/2006/relationships/hyperlink" Target="https://huggingface.co/yiyanghkust/finbert-tone" TargetMode="External"/><Relationship Id="rId108" Type="http://schemas.openxmlformats.org/officeDocument/2006/relationships/hyperlink" Target="https://api-inference.huggingface.co/models/yiyanghkust/finbert-tone" TargetMode="External"/><Relationship Id="rId107" Type="http://schemas.openxmlformats.org/officeDocument/2006/relationships/hyperlink" Target="https://huggingface.co/ProsusAI/finbert" TargetMode="External"/><Relationship Id="rId106" Type="http://schemas.openxmlformats.org/officeDocument/2006/relationships/hyperlink" Target="https://api-inference.huggingface.co/models/ProsusAI/finbert" TargetMode="External"/><Relationship Id="rId105" Type="http://schemas.openxmlformats.org/officeDocument/2006/relationships/hyperlink" Target="https://huggingface.co/finiteautomata/bertweet-base-sentiment-analysis" TargetMode="External"/><Relationship Id="rId104" Type="http://schemas.openxmlformats.org/officeDocument/2006/relationships/hyperlink" Target="https://api-inference.huggingface.co/models/finiteautomata/bertweet-base-sentiment-analysis" TargetMode="External"/><Relationship Id="rId103" Type="http://schemas.openxmlformats.org/officeDocument/2006/relationships/hyperlink" Target="https://huggingface.co/nlptown/bert-base-multilingual-uncased-sentiment" TargetMode="External"/><Relationship Id="rId102" Type="http://schemas.openxmlformats.org/officeDocument/2006/relationships/hyperlink" Target="https://api-inference.huggingface.co/models/nlptown/bert-base-multilingual-uncased-sentiment" TargetMode="External"/><Relationship Id="rId101" Type="http://schemas.openxmlformats.org/officeDocument/2006/relationships/hyperlink" Target="https://huggingface.co/cardiffnlp/twitter-roberta-base-sentiment-latest" TargetMode="External"/><Relationship Id="rId100" Type="http://schemas.openxmlformats.org/officeDocument/2006/relationships/hyperlink" Target="https://api-inference.huggingface.co/models/cardiffnlp/twitter-roberta-base-sentiment-latest" TargetMode="External"/><Relationship Id="rId99" Type="http://schemas.openxmlformats.org/officeDocument/2006/relationships/hyperlink" Target="https://huggingface.co/siebert/sentiment-roberta-large-english" TargetMode="External"/><Relationship Id="rId98" Type="http://schemas.openxmlformats.org/officeDocument/2006/relationships/hyperlink" Target="https://api-inference.huggingface.co/models/siebert/sentiment-roberta-large-english" TargetMode="External"/><Relationship Id="rId97" Type="http://schemas.openxmlformats.org/officeDocument/2006/relationships/hyperlink" Target="https://huggingface.co/distilbert/distilbert-base-uncased-finetuned-sst-2-english" TargetMode="External"/><Relationship Id="rId96" Type="http://schemas.openxmlformats.org/officeDocument/2006/relationships/hyperlink" Target="https://api-inference.huggingface.co/models/distilbert/distilbert-base-uncased-finetuned-sst-2-english" TargetMode="External"/><Relationship Id="rId116" Type="http://schemas.openxmlformats.org/officeDocument/2006/relationships/hyperlink" Target="https://api-inference.huggingface.co/models/distilbert/distilbert-base-uncased-finetuned-sst-2-english" TargetMode="External"/><Relationship Id="rId117" Type="http://schemas.openxmlformats.org/officeDocument/2006/relationships/hyperlink" Target="https://huggingface.co/distilbert/distilbert-base-uncased-finetuned-sst-2-english" TargetMode="External"/><Relationship Id="rId118" Type="http://schemas.openxmlformats.org/officeDocument/2006/relationships/hyperlink" Target="https://api-inference.huggingface.co/models/siebert/sentiment-roberta-large-english" TargetMode="External"/><Relationship Id="rId119" Type="http://schemas.openxmlformats.org/officeDocument/2006/relationships/hyperlink" Target="https://huggingface.co/siebert/sentiment-roberta-large-english" TargetMode="External"/><Relationship Id="rId120" Type="http://schemas.openxmlformats.org/officeDocument/2006/relationships/hyperlink" Target="https://api-inference.huggingface.co/models/cardiffnlp/twitter-roberta-base-sentiment-latest" TargetMode="External"/><Relationship Id="rId121" Type="http://schemas.openxmlformats.org/officeDocument/2006/relationships/hyperlink" Target="https://huggingface.co/cardiffnlp/twitter-roberta-base-sentiment-latest" TargetMode="External"/><Relationship Id="rId122" Type="http://schemas.openxmlformats.org/officeDocument/2006/relationships/hyperlink" Target="https://api-inference.huggingface.co/models/nlptown/bert-base-multilingual-uncased-sentiment" TargetMode="External"/><Relationship Id="rId123" Type="http://schemas.openxmlformats.org/officeDocument/2006/relationships/hyperlink" Target="https://huggingface.co/nlptown/bert-base-multilingual-uncased-sentiment" TargetMode="External"/><Relationship Id="rId124" Type="http://schemas.openxmlformats.org/officeDocument/2006/relationships/hyperlink" Target="https://api-inference.huggingface.co/models/finiteautomata/bertweet-base-sentiment-analysis" TargetMode="External"/><Relationship Id="rId125" Type="http://schemas.openxmlformats.org/officeDocument/2006/relationships/hyperlink" Target="https://huggingface.co/finiteautomata/bertweet-base-sentiment-analysis" TargetMode="External"/><Relationship Id="rId126" Type="http://schemas.openxmlformats.org/officeDocument/2006/relationships/hyperlink" Target="https://api-inference.huggingface.co/models/ProsusAI/finbert" TargetMode="External"/><Relationship Id="rId127" Type="http://schemas.openxmlformats.org/officeDocument/2006/relationships/hyperlink" Target="https://huggingface.co/ProsusAI/finbert" TargetMode="External"/><Relationship Id="rId128" Type="http://schemas.openxmlformats.org/officeDocument/2006/relationships/hyperlink" Target="https://api-inference.huggingface.co/models/yiyanghkust/finbert-tone" TargetMode="External"/><Relationship Id="rId129" Type="http://schemas.openxmlformats.org/officeDocument/2006/relationships/hyperlink" Target="https://huggingface.co/yiyanghkust/finbert-tone" TargetMode="External"/><Relationship Id="rId130" Type="http://schemas.openxmlformats.org/officeDocument/2006/relationships/hyperlink" Target="https://api-inference.huggingface.co/models/cardiffnlp/twitter-roberta-base-sentiment" TargetMode="External"/><Relationship Id="rId131" Type="http://schemas.openxmlformats.org/officeDocument/2006/relationships/hyperlink" Target="https://huggingface.co/cardiffnlp/twitter-roberta-base-sentiment" TargetMode="External"/><Relationship Id="rId132" Type="http://schemas.openxmlformats.org/officeDocument/2006/relationships/hyperlink" Target="https://api-inference.huggingface.co/models/helenai/distilbert-base-uncased-finetuned-sst-2-english-ov-int8" TargetMode="External"/><Relationship Id="rId133" Type="http://schemas.openxmlformats.org/officeDocument/2006/relationships/hyperlink" Target="https://huggingface.co/helenai/distilbert-base-uncased-finetuned-sst-2-english-ov-int8" TargetMode="External"/><Relationship Id="rId134" Type="http://schemas.openxmlformats.org/officeDocument/2006/relationships/hyperlink" Target="https://api.us-south.natural-language-understanding.watson.cloud.ibm.com/" TargetMode="External"/><Relationship Id="rId135" Type="http://schemas.openxmlformats.org/officeDocument/2006/relationships/hyperlink" Target="https://cloud.ibm.com/apidocs/natural-language-understanding" TargetMode="External"/></Relationships>
</file>

<file path=xl/worksheets/_rels/sheet4.xml.rels><?xml version="1.0" encoding="UTF-8" standalone="yes"?><Relationships xmlns="http://schemas.openxmlformats.org/package/2006/relationships"><Relationship Id="rId65" Type="http://schemas.openxmlformats.org/officeDocument/2006/relationships/hyperlink" Target="https://language.googleapis.com/" TargetMode="External"/><Relationship Id="rId66" Type="http://schemas.openxmlformats.org/officeDocument/2006/relationships/hyperlink" Target="https://cloud.google.com/natural-language/docs/analyzing-sentiment" TargetMode="External"/><Relationship Id="rId67" Type="http://schemas.openxmlformats.org/officeDocument/2006/relationships/hyperlink" Target="https://docs.aws.amazon.com/comprehend/latest/APIReference/API_DetectSentiment.html" TargetMode="External"/><Relationship Id="rId68" Type="http://schemas.openxmlformats.org/officeDocument/2006/relationships/hyperlink" Target="https://learn.microsoft.com/en-us/azure/ai-services/language-service/sentiment-opinion-mining/quickstart" TargetMode="External"/><Relationship Id="rId69" Type="http://schemas.openxmlformats.org/officeDocument/2006/relationships/hyperlink" Target="https://cloud.ibm.com/apidocs/natural-language-understanding" TargetMode="External"/><Relationship Id="rId70" Type="http://schemas.openxmlformats.org/officeDocument/2006/relationships/hyperlink" Target="https://api-inference.huggingface.co/" TargetMode="External"/><Relationship Id="rId71" Type="http://schemas.openxmlformats.org/officeDocument/2006/relationships/hyperlink" Target="https://huggingface.co/docs/api-inference/index" TargetMode="External"/><Relationship Id="rId72" Type="http://schemas.openxmlformats.org/officeDocument/2006/relationships/hyperlink" Target="https://api.meaningcloud.com/" TargetMode="External"/><Relationship Id="rId73" Type="http://schemas.openxmlformats.org/officeDocument/2006/relationships/hyperlink" Target="https://www.meaningcloud.com/developer/sentiment-analysis" TargetMode="External"/><Relationship Id="rId74" Type="http://schemas.openxmlformats.org/officeDocument/2006/relationships/hyperlink" Target="https://apis.paralleldots.com/" TargetMode="External"/><Relationship Id="rId75" Type="http://schemas.openxmlformats.org/officeDocument/2006/relationships/hyperlink" Target="https://www.paralleldots.com/text-analysis-apis" TargetMode="External"/><Relationship Id="rId76" Type="http://schemas.openxmlformats.org/officeDocument/2006/relationships/hyperlink" Target="https://twinword-sentiment-analysis.p.rapidapi.com/" TargetMode="External"/><Relationship Id="rId77" Type="http://schemas.openxmlformats.org/officeDocument/2006/relationships/hyperlink" Target="https://www.twinword.com/api/sentiment-analysis.php" TargetMode="External"/><Relationship Id="rId78" Type="http://schemas.openxmlformats.org/officeDocument/2006/relationships/hyperlink" Target="https://api.aylien.com/" TargetMode="External"/><Relationship Id="rId79" Type="http://schemas.openxmlformats.org/officeDocument/2006/relationships/hyperlink" Target="https://docs.aylien.com/textapi" TargetMode="External"/><Relationship Id="rId80" Type="http://schemas.openxmlformats.org/officeDocument/2006/relationships/hyperlink" Target="https://api.tabularis.ai/" TargetMode="External"/><Relationship Id="rId81" Type="http://schemas.openxmlformats.org/officeDocument/2006/relationships/hyperlink" Target="https://huggingface.co/tabularisai/multilingual-sentiment-analysis" TargetMode="External"/><Relationship Id="rId82" Type="http://schemas.openxmlformats.org/officeDocument/2006/relationships/hyperlink" Target="https://language.googleapis.com/" TargetMode="External"/><Relationship Id="rId83" Type="http://schemas.openxmlformats.org/officeDocument/2006/relationships/hyperlink" Target="https://cloud.google.com/natural-language/docs/analyzing-sentiment" TargetMode="External"/><Relationship Id="rId84" Type="http://schemas.openxmlformats.org/officeDocument/2006/relationships/hyperlink" Target="https://docs.aws.amazon.com/comprehend/latest/APIReference/API_DetectSentiment.html" TargetMode="External"/><Relationship Id="rId85" Type="http://schemas.openxmlformats.org/officeDocument/2006/relationships/hyperlink" Target="https://learn.microsoft.com/en-us/azure/ai-services/language-service/sentiment-opinion-mining/quickstart" TargetMode="External"/><Relationship Id="rId86" Type="http://schemas.openxmlformats.org/officeDocument/2006/relationships/hyperlink" Target="https://cloud.ibm.com/apidocs/natural-language-understanding" TargetMode="External"/><Relationship Id="rId87" Type="http://schemas.openxmlformats.org/officeDocument/2006/relationships/hyperlink" Target="https://api-inference.huggingface.co/" TargetMode="External"/><Relationship Id="rId88" Type="http://schemas.openxmlformats.org/officeDocument/2006/relationships/hyperlink" Target="https://huggingface.co/docs/api-inference/index" TargetMode="External"/><Relationship Id="rId89" Type="http://schemas.openxmlformats.org/officeDocument/2006/relationships/hyperlink" Target="https://api.meaningcloud.com/" TargetMode="External"/><Relationship Id="rId90" Type="http://schemas.openxmlformats.org/officeDocument/2006/relationships/hyperlink" Target="https://www.meaningcloud.com/developer/sentiment-analysis" TargetMode="External"/><Relationship Id="rId91" Type="http://schemas.openxmlformats.org/officeDocument/2006/relationships/hyperlink" Target="https://apis.paralleldots.com/" TargetMode="External"/><Relationship Id="rId92" Type="http://schemas.openxmlformats.org/officeDocument/2006/relationships/hyperlink" Target="https://www.paralleldots.com/text-analysis-apis" TargetMode="External"/><Relationship Id="rId93" Type="http://schemas.openxmlformats.org/officeDocument/2006/relationships/hyperlink" Target="https://twinword-sentiment-analysis.p.rapidapi.com/" TargetMode="External"/><Relationship Id="rId94" Type="http://schemas.openxmlformats.org/officeDocument/2006/relationships/hyperlink" Target="https://www.twinword.com/api/sentiment-analysis.php" TargetMode="External"/><Relationship Id="rId95" Type="http://schemas.openxmlformats.org/officeDocument/2006/relationships/hyperlink" Target="https://api.aylien.com/" TargetMode="External"/><Relationship Id="rId96" Type="http://schemas.openxmlformats.org/officeDocument/2006/relationships/hyperlink" Target="https://docs.aylien.com/textapi" TargetMode="External"/><Relationship Id="rId97" Type="http://schemas.openxmlformats.org/officeDocument/2006/relationships/hyperlink" Target="https://api.tabularis.ai/" TargetMode="External"/><Relationship Id="rId98" Type="http://schemas.openxmlformats.org/officeDocument/2006/relationships/hyperlink" Target="https://huggingface.co/tabularisai/multilingual-sentiment-analysis" TargetMode="External"/></Relationships>
</file>

<file path=xl/worksheets/_rels/sheet5.xml.rels><?xml version="1.0" encoding="UTF-8" standalone="yes"?><Relationships xmlns="http://schemas.openxmlformats.org/package/2006/relationships"><Relationship Id="rId77" Type="http://schemas.openxmlformats.org/officeDocument/2006/relationships/hyperlink" Target="https://learn.microsoft.com/en-us/rest/api/language/text-analytics-runtime/sentiment-analysis" TargetMode="External"/><Relationship Id="rId76" Type="http://schemas.openxmlformats.org/officeDocument/2006/relationships/hyperlink" Target="https://your-resource-name.cognitiveservices.azure.com/" TargetMode="External"/><Relationship Id="rId75" Type="http://schemas.openxmlformats.org/officeDocument/2006/relationships/hyperlink" Target="https://docs.aws.amazon.com/comprehend/latest/dg/API_DetectSentiment.html" TargetMode="External"/><Relationship Id="rId74" Type="http://schemas.openxmlformats.org/officeDocument/2006/relationships/hyperlink" Target="https://comprehend.us-east-1.amazonaws.com/" TargetMode="External"/><Relationship Id="rId73" Type="http://schemas.openxmlformats.org/officeDocument/2006/relationships/hyperlink" Target="https://monkeylearn.com/api/v3/classifiers/cl_pi3C7JiL/classify/" TargetMode="External"/><Relationship Id="rId72" Type="http://schemas.openxmlformats.org/officeDocument/2006/relationships/hyperlink" Target="https://api.monkeylearn.com/" TargetMode="External"/><Relationship Id="rId71" Type="http://schemas.openxmlformats.org/officeDocument/2006/relationships/hyperlink" Target="https://cloud.ibm.com/apidocs/natural-language-understanding#sentiment" TargetMode="External"/><Relationship Id="rId70" Type="http://schemas.openxmlformats.org/officeDocument/2006/relationships/hyperlink" Target="https://api.us-south.natural-language-understanding.watson.cloud.ibm.com/" TargetMode="External"/><Relationship Id="rId69" Type="http://schemas.openxmlformats.org/officeDocument/2006/relationships/hyperlink" Target="https://www.thetextapi.com/docs/sentiment-analysis-api" TargetMode="External"/><Relationship Id="rId68" Type="http://schemas.openxmlformats.org/officeDocument/2006/relationships/hyperlink" Target="https://api.thetextapi.com/" TargetMode="External"/><Relationship Id="rId67" Type="http://schemas.openxmlformats.org/officeDocument/2006/relationships/hyperlink" Target="https://docs.textapis.ai/api/v1/sentiment-analysis" TargetMode="External"/><Relationship Id="rId66" Type="http://schemas.openxmlformats.org/officeDocument/2006/relationships/hyperlink" Target="https://api.textapis.ai/" TargetMode="External"/><Relationship Id="rId65" Type="http://schemas.openxmlformats.org/officeDocument/2006/relationships/hyperlink" Target="https://rapidapi.com/bert-models/api/sentiment-analysis-multi-language/" TargetMode="External"/><Relationship Id="rId64" Type="http://schemas.openxmlformats.org/officeDocument/2006/relationships/hyperlink" Target="https://sentiment-analysis-multi-language.p.rapidapi.com/" TargetMode="External"/><Relationship Id="rId63" Type="http://schemas.openxmlformats.org/officeDocument/2006/relationships/hyperlink" Target="https://rapidapi.com/api-ninjas/api/nlp-api/" TargetMode="External"/><Relationship Id="rId62" Type="http://schemas.openxmlformats.org/officeDocument/2006/relationships/hyperlink" Target="https://nlp-api.p.rapidapi.com/" TargetMode="External"/><Relationship Id="rId61" Type="http://schemas.openxmlformats.org/officeDocument/2006/relationships/hyperlink" Target="https://rapidapi.com/sentiment-analysis-api/api/sentiment-analysis" TargetMode="External"/><Relationship Id="rId60" Type="http://schemas.openxmlformats.org/officeDocument/2006/relationships/hyperlink" Target="https://sentiment-analysis-api.p.rapidapi.com/" TargetMode="External"/><Relationship Id="rId59" Type="http://schemas.openxmlformats.org/officeDocument/2006/relationships/hyperlink" Target="https://rapidapi.com/text-processing/api/sentiment-analysis" TargetMode="External"/><Relationship Id="rId58" Type="http://schemas.openxmlformats.org/officeDocument/2006/relationships/hyperlink" Target="https://text-processing.p.rapidapi.com/" TargetMode="External"/><Relationship Id="rId78" Type="http://schemas.openxmlformats.org/officeDocument/2006/relationships/hyperlink" Target="https://text-processing.p.rapidapi.com/" TargetMode="External"/><Relationship Id="rId79" Type="http://schemas.openxmlformats.org/officeDocument/2006/relationships/hyperlink" Target="https://rapidapi.com/text-processing/api/sentiment-analysis" TargetMode="External"/><Relationship Id="rId80" Type="http://schemas.openxmlformats.org/officeDocument/2006/relationships/hyperlink" Target="https://sentiment-analysis-api.p.rapidapi.com/" TargetMode="External"/><Relationship Id="rId81" Type="http://schemas.openxmlformats.org/officeDocument/2006/relationships/hyperlink" Target="https://rapidapi.com/sentiment-analysis-api/api/sentiment-analysis" TargetMode="External"/><Relationship Id="rId82" Type="http://schemas.openxmlformats.org/officeDocument/2006/relationships/hyperlink" Target="https://nlp-api.p.rapidapi.com/" TargetMode="External"/><Relationship Id="rId83" Type="http://schemas.openxmlformats.org/officeDocument/2006/relationships/hyperlink" Target="https://rapidapi.com/api-ninjas/api/nlp-api/" TargetMode="External"/><Relationship Id="rId84" Type="http://schemas.openxmlformats.org/officeDocument/2006/relationships/hyperlink" Target="https://sentiment-analysis-multi-language.p.rapidapi.com/" TargetMode="External"/><Relationship Id="rId85" Type="http://schemas.openxmlformats.org/officeDocument/2006/relationships/hyperlink" Target="https://rapidapi.com/bert-models/api/sentiment-analysis-multi-language/" TargetMode="External"/><Relationship Id="rId86" Type="http://schemas.openxmlformats.org/officeDocument/2006/relationships/hyperlink" Target="https://api.textapis.ai/" TargetMode="External"/><Relationship Id="rId87" Type="http://schemas.openxmlformats.org/officeDocument/2006/relationships/hyperlink" Target="https://docs.textapis.ai/api/v1/sentiment-analysis" TargetMode="External"/><Relationship Id="rId88" Type="http://schemas.openxmlformats.org/officeDocument/2006/relationships/hyperlink" Target="https://api.thetextapi.com/" TargetMode="External"/><Relationship Id="rId89" Type="http://schemas.openxmlformats.org/officeDocument/2006/relationships/hyperlink" Target="https://www.thetextapi.com/docs/sentiment-analysis-api" TargetMode="External"/><Relationship Id="rId90" Type="http://schemas.openxmlformats.org/officeDocument/2006/relationships/hyperlink" Target="https://api.us-south.natural-language-understanding.watson.cloud.ibm.com/" TargetMode="External"/><Relationship Id="rId91" Type="http://schemas.openxmlformats.org/officeDocument/2006/relationships/hyperlink" Target="https://cloud.ibm.com/apidocs/natural-language-understanding#sentiment" TargetMode="External"/><Relationship Id="rId92" Type="http://schemas.openxmlformats.org/officeDocument/2006/relationships/hyperlink" Target="https://api.monkeylearn.com/" TargetMode="External"/><Relationship Id="rId93" Type="http://schemas.openxmlformats.org/officeDocument/2006/relationships/hyperlink" Target="https://monkeylearn.com/api/v3/classifiers/cl_pi3C7JiL/classify/" TargetMode="External"/><Relationship Id="rId94" Type="http://schemas.openxmlformats.org/officeDocument/2006/relationships/hyperlink" Target="https://comprehend.us-east-1.amazonaws.com/" TargetMode="External"/><Relationship Id="rId95" Type="http://schemas.openxmlformats.org/officeDocument/2006/relationships/hyperlink" Target="https://docs.aws.amazon.com/comprehend/latest/dg/API_DetectSentiment.html" TargetMode="External"/><Relationship Id="rId96" Type="http://schemas.openxmlformats.org/officeDocument/2006/relationships/hyperlink" Target="https://your-resource-name.cognitiveservices.azure.com/" TargetMode="External"/><Relationship Id="rId97" Type="http://schemas.openxmlformats.org/officeDocument/2006/relationships/hyperlink" Target="https://learn.microsoft.com/en-us/rest/api/language/text-analytics-runtime/sentiment-analysis" TargetMode="External"/></Relationships>
</file>

<file path=xl/worksheets/_rels/sheet6.xml.rels><?xml version="1.0" encoding="UTF-8" standalone="yes"?><Relationships xmlns="http://schemas.openxmlformats.org/package/2006/relationships"><Relationship Id="rId39" Type="http://schemas.openxmlformats.org/officeDocument/2006/relationships/hyperlink" Target="https://api-inference.huggingface.co/" TargetMode="External"/><Relationship Id="rId40" Type="http://schemas.openxmlformats.org/officeDocument/2006/relationships/hyperlink" Target="https://huggingface.co/docs/api-inference/detailed_parameters#sentiment-analysis-task" TargetMode="External"/><Relationship Id="rId41" Type="http://schemas.openxmlformats.org/officeDocument/2006/relationships/hyperlink" Target="https://language.googleapis.com/" TargetMode="External"/><Relationship Id="rId42" Type="http://schemas.openxmlformats.org/officeDocument/2006/relationships/hyperlink" Target="https://cloud.google.com/natural-language/docs/analyzing-sentiment" TargetMode="External"/><Relationship Id="rId43" Type="http://schemas.openxmlformats.org/officeDocument/2006/relationships/hyperlink" Target="https://your_resource_name.cognitiveservices.azure.com/" TargetMode="External"/><Relationship Id="rId44" Type="http://schemas.openxmlformats.org/officeDocument/2006/relationships/hyperlink" Target="https://learn.microsoft.com/en-us/azure/ai-services/language-service/sentiment-opinion-mining/overview" TargetMode="External"/><Relationship Id="rId45" Type="http://schemas.openxmlformats.org/officeDocument/2006/relationships/hyperlink" Target="https://comprehend.us-east-1.amazonaws.com/" TargetMode="External"/><Relationship Id="rId46" Type="http://schemas.openxmlformats.org/officeDocument/2006/relationships/hyperlink" Target="https://docs.aws.amazon.com/comprehend/latest/dg/API_DetectSentiment.html" TargetMode="External"/><Relationship Id="rId47" Type="http://schemas.openxmlformats.org/officeDocument/2006/relationships/hyperlink" Target="https://api.meaningcloud.com/" TargetMode="External"/><Relationship Id="rId48" Type="http://schemas.openxmlformats.org/officeDocument/2006/relationships/hyperlink" Target="https://www.meaningcloud.com/developer/sentiment-analysis" TargetMode="External"/><Relationship Id="rId49" Type="http://schemas.openxmlformats.org/officeDocument/2006/relationships/hyperlink" Target="https://api.monkeylearn.com/" TargetMode="External"/><Relationship Id="rId50" Type="http://schemas.openxmlformats.org/officeDocument/2006/relationships/hyperlink" Target="https://monkeylearn.com/api/v3/#sentiment-analysis" TargetMode="External"/><Relationship Id="rId51" Type="http://schemas.openxmlformats.org/officeDocument/2006/relationships/hyperlink" Target="https://apis.paralleldots.com/" TargetMode="External"/><Relationship Id="rId52" Type="http://schemas.openxmlformats.org/officeDocument/2006/relationships/hyperlink" Target="https://www.paralleldots.com/sentiment-analysis" TargetMode="External"/><Relationship Id="rId53" Type="http://schemas.openxmlformats.org/officeDocument/2006/relationships/hyperlink" Target="https://api.textrazor.com/" TargetMode="External"/><Relationship Id="rId54" Type="http://schemas.openxmlformats.org/officeDocument/2006/relationships/hyperlink" Target="https://www.textrazor.com/sentiment_analysis" TargetMode="External"/><Relationship Id="rId55" Type="http://schemas.openxmlformats.org/officeDocument/2006/relationships/hyperlink" Target="https://api.aylien.com/" TargetMode="External"/><Relationship Id="rId56" Type="http://schemas.openxmlformats.org/officeDocument/2006/relationships/hyperlink" Target="https://docs.aylien.com/textapi/endpoints/#sentiment-analysis" TargetMode="External"/><Relationship Id="rId57" Type="http://schemas.openxmlformats.org/officeDocument/2006/relationships/hyperlink" Target="https://api.dandelion.eu/" TargetMode="External"/><Relationship Id="rId58" Type="http://schemas.openxmlformats.org/officeDocument/2006/relationships/hyperlink" Target="https://dandelion.eu/docs/api/datatxt/sent/v1/" TargetMode="External"/><Relationship Id="rId59" Type="http://schemas.openxmlformats.org/officeDocument/2006/relationships/hyperlink" Target="https://api-inference.huggingface.co/" TargetMode="External"/><Relationship Id="rId60" Type="http://schemas.openxmlformats.org/officeDocument/2006/relationships/hyperlink" Target="https://huggingface.co/docs/api-inference/detailed_parameters#sentiment-analysis-task" TargetMode="External"/><Relationship Id="rId61" Type="http://schemas.openxmlformats.org/officeDocument/2006/relationships/hyperlink" Target="https://language.googleapis.com/" TargetMode="External"/><Relationship Id="rId62" Type="http://schemas.openxmlformats.org/officeDocument/2006/relationships/hyperlink" Target="https://cloud.google.com/natural-language/docs/analyzing-sentiment" TargetMode="External"/><Relationship Id="rId63" Type="http://schemas.openxmlformats.org/officeDocument/2006/relationships/hyperlink" Target="https://your_resource_name.cognitiveservices.azure.com/" TargetMode="External"/><Relationship Id="rId64" Type="http://schemas.openxmlformats.org/officeDocument/2006/relationships/hyperlink" Target="https://learn.microsoft.com/en-us/azure/ai-services/language-service/sentiment-opinion-mining/overview" TargetMode="External"/><Relationship Id="rId65" Type="http://schemas.openxmlformats.org/officeDocument/2006/relationships/hyperlink" Target="https://comprehend.us-east-1.amazonaws.com/" TargetMode="External"/><Relationship Id="rId66" Type="http://schemas.openxmlformats.org/officeDocument/2006/relationships/hyperlink" Target="https://docs.aws.amazon.com/comprehend/latest/dg/API_DetectSentiment.html" TargetMode="External"/><Relationship Id="rId67" Type="http://schemas.openxmlformats.org/officeDocument/2006/relationships/hyperlink" Target="https://api.meaningcloud.com/" TargetMode="External"/><Relationship Id="rId68" Type="http://schemas.openxmlformats.org/officeDocument/2006/relationships/hyperlink" Target="https://www.meaningcloud.com/developer/sentiment-analysis" TargetMode="External"/><Relationship Id="rId69" Type="http://schemas.openxmlformats.org/officeDocument/2006/relationships/hyperlink" Target="https://api.monkeylearn.com/" TargetMode="External"/><Relationship Id="rId70" Type="http://schemas.openxmlformats.org/officeDocument/2006/relationships/hyperlink" Target="https://monkeylearn.com/api/v3/#sentiment-analysis" TargetMode="External"/><Relationship Id="rId71" Type="http://schemas.openxmlformats.org/officeDocument/2006/relationships/hyperlink" Target="https://apis.paralleldots.com/" TargetMode="External"/><Relationship Id="rId72" Type="http://schemas.openxmlformats.org/officeDocument/2006/relationships/hyperlink" Target="https://www.paralleldots.com/sentiment-analysis" TargetMode="External"/><Relationship Id="rId73" Type="http://schemas.openxmlformats.org/officeDocument/2006/relationships/hyperlink" Target="https://api.textrazor.com/" TargetMode="External"/><Relationship Id="rId74" Type="http://schemas.openxmlformats.org/officeDocument/2006/relationships/hyperlink" Target="https://www.textrazor.com/sentiment_analysis" TargetMode="External"/><Relationship Id="rId75" Type="http://schemas.openxmlformats.org/officeDocument/2006/relationships/hyperlink" Target="https://api.aylien.com/" TargetMode="External"/><Relationship Id="rId76" Type="http://schemas.openxmlformats.org/officeDocument/2006/relationships/hyperlink" Target="https://docs.aylien.com/textapi/endpoints/#sentiment-analysis" TargetMode="External"/><Relationship Id="rId77" Type="http://schemas.openxmlformats.org/officeDocument/2006/relationships/hyperlink" Target="https://api.dandelion.eu/" TargetMode="External"/><Relationship Id="rId78" Type="http://schemas.openxmlformats.org/officeDocument/2006/relationships/hyperlink" Target="https://dandelion.eu/docs/api/datatxt/sent/v1/" TargetMode="External"/></Relationships>
</file>

<file path=xl/worksheets/_rels/sheet7.xml.rels><?xml version="1.0" encoding="UTF-8" standalone="yes"?><Relationships xmlns="http://schemas.openxmlformats.org/package/2006/relationships"><Relationship Id="rId33" Type="http://schemas.openxmlformats.org/officeDocument/2006/relationships/hyperlink" Target="https://www.paralleldots.com/sentiment-analysis" TargetMode="External"/><Relationship Id="rId32" Type="http://schemas.openxmlformats.org/officeDocument/2006/relationships/hyperlink" Target="https://apis.paralleldots.com/" TargetMode="External"/><Relationship Id="rId31" Type="http://schemas.openxmlformats.org/officeDocument/2006/relationships/hyperlink" Target="https://rapidapi.com/twinword/api/sentiment-analysis" TargetMode="External"/><Relationship Id="rId30" Type="http://schemas.openxmlformats.org/officeDocument/2006/relationships/hyperlink" Target="https://twinword-sentiment-analysis.p.rapidapi.com/" TargetMode="External"/><Relationship Id="rId29" Type="http://schemas.openxmlformats.org/officeDocument/2006/relationships/hyperlink" Target="https://docs.aws.amazon.com/comprehend/latest/dg/how-sentiment.html" TargetMode="External"/><Relationship Id="rId28" Type="http://schemas.openxmlformats.org/officeDocument/2006/relationships/hyperlink" Target="https://cloud.ibm.com/apidocs/natural-language-understanding" TargetMode="External"/><Relationship Id="rId27" Type="http://schemas.openxmlformats.org/officeDocument/2006/relationships/hyperlink" Target="https://api.au-syd.natural-language-understanding.watson.cloud.ibm.com/" TargetMode="External"/><Relationship Id="rId26" Type="http://schemas.openxmlformats.org/officeDocument/2006/relationships/hyperlink" Target="https://www.meaningcloud.com/developer/sentiment-analysis" TargetMode="External"/><Relationship Id="rId25" Type="http://schemas.openxmlformats.org/officeDocument/2006/relationships/hyperlink" Target="https://api.meaningcloud.com/" TargetMode="External"/><Relationship Id="rId24" Type="http://schemas.openxmlformats.org/officeDocument/2006/relationships/hyperlink" Target="https://developers.deepgram.com/docs/text-sentiment-analysis" TargetMode="External"/><Relationship Id="rId23" Type="http://schemas.openxmlformats.org/officeDocument/2006/relationships/hyperlink" Target="https://api.deepgram.com/v1" TargetMode="External"/><Relationship Id="rId22" Type="http://schemas.openxmlformats.org/officeDocument/2006/relationships/hyperlink" Target="https://zylalabs.com/api-marketplace/nlp/multilingual%20sentiment%20analysis%20api/760" TargetMode="External"/><Relationship Id="rId21" Type="http://schemas.openxmlformats.org/officeDocument/2006/relationships/hyperlink" Target="https://zylalabs.com/api/760" TargetMode="External"/><Relationship Id="rId20" Type="http://schemas.openxmlformats.org/officeDocument/2006/relationships/hyperlink" Target="https://docs.oracle.com/en-us/iaas/language/using/sentment.htm" TargetMode="External"/><Relationship Id="rId19" Type="http://schemas.openxmlformats.org/officeDocument/2006/relationships/hyperlink" Target="https://learn.microsoft.com/en-us/azure/ai-services/language-service/sentiment-opinion-mining/how-to/call-api" TargetMode="External"/><Relationship Id="rId18" Type="http://schemas.openxmlformats.org/officeDocument/2006/relationships/hyperlink" Target="https://cloud.google.com/natural-language/docs/analyzing-sentiment" TargetMode="External"/><Relationship Id="rId17" Type="http://schemas.openxmlformats.org/officeDocument/2006/relationships/hyperlink" Target="https://language.googleapis.com/v2" TargetMode="External"/><Relationship Id="rId34" Type="http://schemas.openxmlformats.org/officeDocument/2006/relationships/hyperlink" Target="https://language.googleapis.com/v2" TargetMode="External"/><Relationship Id="rId35" Type="http://schemas.openxmlformats.org/officeDocument/2006/relationships/hyperlink" Target="https://cloud.google.com/natural-language/docs/analyzing-sentiment" TargetMode="External"/><Relationship Id="rId36" Type="http://schemas.openxmlformats.org/officeDocument/2006/relationships/hyperlink" Target="https://learn.microsoft.com/en-us/azure/ai-services/language-service/sentiment-opinion-mining/how-to/call-api" TargetMode="External"/><Relationship Id="rId37" Type="http://schemas.openxmlformats.org/officeDocument/2006/relationships/hyperlink" Target="https://docs.oracle.com/en-us/iaas/language/using/sentment.htm" TargetMode="External"/><Relationship Id="rId38" Type="http://schemas.openxmlformats.org/officeDocument/2006/relationships/hyperlink" Target="https://zylalabs.com/api/760" TargetMode="External"/><Relationship Id="rId39" Type="http://schemas.openxmlformats.org/officeDocument/2006/relationships/hyperlink" Target="https://zylalabs.com/api-marketplace/nlp/multilingual%20sentiment%20analysis%20api/760" TargetMode="External"/><Relationship Id="rId40" Type="http://schemas.openxmlformats.org/officeDocument/2006/relationships/hyperlink" Target="https://api.deepgram.com/v1" TargetMode="External"/><Relationship Id="rId41" Type="http://schemas.openxmlformats.org/officeDocument/2006/relationships/hyperlink" Target="https://developers.deepgram.com/docs/text-sentiment-analysis" TargetMode="External"/><Relationship Id="rId42" Type="http://schemas.openxmlformats.org/officeDocument/2006/relationships/hyperlink" Target="https://api.meaningcloud.com/" TargetMode="External"/><Relationship Id="rId43" Type="http://schemas.openxmlformats.org/officeDocument/2006/relationships/hyperlink" Target="https://www.meaningcloud.com/developer/sentiment-analysis" TargetMode="External"/><Relationship Id="rId44" Type="http://schemas.openxmlformats.org/officeDocument/2006/relationships/hyperlink" Target="https://api.au-syd.natural-language-understanding.watson.cloud.ibm.com/" TargetMode="External"/><Relationship Id="rId45" Type="http://schemas.openxmlformats.org/officeDocument/2006/relationships/hyperlink" Target="https://cloud.ibm.com/apidocs/natural-language-understanding" TargetMode="External"/><Relationship Id="rId46" Type="http://schemas.openxmlformats.org/officeDocument/2006/relationships/hyperlink" Target="https://docs.aws.amazon.com/comprehend/latest/dg/how-sentiment.html" TargetMode="External"/><Relationship Id="rId47" Type="http://schemas.openxmlformats.org/officeDocument/2006/relationships/hyperlink" Target="https://twinword-sentiment-analysis.p.rapidapi.com/" TargetMode="External"/><Relationship Id="rId48" Type="http://schemas.openxmlformats.org/officeDocument/2006/relationships/hyperlink" Target="https://rapidapi.com/twinword/api/sentiment-analysis" TargetMode="External"/><Relationship Id="rId49" Type="http://schemas.openxmlformats.org/officeDocument/2006/relationships/hyperlink" Target="https://apis.paralleldots.com/" TargetMode="External"/><Relationship Id="rId50" Type="http://schemas.openxmlformats.org/officeDocument/2006/relationships/hyperlink" Target="https://www.paralleldots.com/sentiment-analysi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62.9817886352539" customWidth="1"/>
    <col min="3" max="3" width="55.0970230102539" customWidth="1"/>
    <col min="4" max="4" width="47.1314353942871" customWidth="1"/>
    <col min="5" max="5" width="50.7254638671875" customWidth="1"/>
    <col min="6" max="6" width="51.180728912353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6</v>
      </c>
      <c r="C2" s="0" t="s">
        <v>7</v>
      </c>
      <c r="D2" s="0" t="s">
        <v>8</v>
      </c>
      <c r="E2" s="0" t="s">
        <v>9</v>
      </c>
      <c r="F2" s="0" t="s">
        <v>10</v>
      </c>
    </row>
    <row r="3">
      <c r="A3" s="0">
        <v>2</v>
      </c>
      <c r="B3" s="0" t="s">
        <v>11</v>
      </c>
      <c r="C3" s="0" t="s">
        <v>12</v>
      </c>
      <c r="D3" s="0" t="s">
        <v>13</v>
      </c>
      <c r="E3" s="0" t="s">
        <v>7</v>
      </c>
      <c r="F3" s="0" t="s">
        <v>14</v>
      </c>
    </row>
    <row r="4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29</v>
      </c>
    </row>
    <row r="7">
      <c r="A7" s="0">
        <v>6</v>
      </c>
      <c r="B7" s="0" t="s">
        <v>30</v>
      </c>
      <c r="C7" s="0" t="s">
        <v>31</v>
      </c>
      <c r="D7" s="0" t="s">
        <v>32</v>
      </c>
      <c r="E7" s="0" t="s">
        <v>33</v>
      </c>
      <c r="F7" s="0" t="s">
        <v>28</v>
      </c>
    </row>
    <row r="8">
      <c r="A8" s="0">
        <v>7</v>
      </c>
      <c r="B8" s="0" t="s">
        <v>34</v>
      </c>
      <c r="C8" s="0" t="s">
        <v>35</v>
      </c>
      <c r="D8" s="0" t="s">
        <v>36</v>
      </c>
      <c r="E8" s="0" t="s">
        <v>37</v>
      </c>
      <c r="F8" s="0" t="s">
        <v>38</v>
      </c>
    </row>
    <row r="9">
      <c r="A9" s="0">
        <v>8</v>
      </c>
      <c r="B9" s="0" t="s">
        <v>39</v>
      </c>
      <c r="C9" s="0" t="s">
        <v>40</v>
      </c>
      <c r="D9" s="0" t="s">
        <v>33</v>
      </c>
      <c r="E9" s="0" t="s">
        <v>41</v>
      </c>
      <c r="F9" s="0" t="s">
        <v>42</v>
      </c>
    </row>
    <row r="10">
      <c r="A10" s="0">
        <v>9</v>
      </c>
      <c r="B10" s="0" t="s">
        <v>43</v>
      </c>
      <c r="C10" s="0" t="s">
        <v>44</v>
      </c>
      <c r="D10" s="0" t="s">
        <v>45</v>
      </c>
      <c r="E10" s="0" t="s">
        <v>46</v>
      </c>
      <c r="F10" s="0" t="s">
        <v>47</v>
      </c>
    </row>
    <row r="11">
      <c r="A11" s="0">
        <v>10</v>
      </c>
      <c r="B11" s="0" t="s">
        <v>48</v>
      </c>
      <c r="C11" s="0" t="s">
        <v>49</v>
      </c>
      <c r="D11" s="0" t="s">
        <v>50</v>
      </c>
      <c r="E11" s="0" t="s">
        <v>51</v>
      </c>
      <c r="F11" s="0" t="s">
        <v>37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1"/>
  <sheetViews>
    <sheetView workbookViewId="0"/>
  </sheetViews>
  <sheetFormatPr defaultRowHeight="15"/>
  <cols>
    <col min="1" max="1" width="9.140625" customWidth="1"/>
    <col min="2" max="2" width="20.9614295959473" customWidth="1"/>
    <col min="3" max="3" width="30.699987411499" customWidth="1"/>
    <col min="4" max="4" width="35.2250061035156" customWidth="1"/>
    <col min="5" max="5" width="27.9510135650635" customWidth="1"/>
    <col min="6" max="6" width="30.6999874114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 t="s">
        <v>52</v>
      </c>
      <c r="C2" s="0" t="s">
        <v>53</v>
      </c>
      <c r="D2" s="0" t="s">
        <v>54</v>
      </c>
      <c r="E2" s="0" t="s">
        <v>52</v>
      </c>
      <c r="F2" s="0" t="s">
        <v>53</v>
      </c>
    </row>
    <row r="3">
      <c r="A3" s="0">
        <v>2</v>
      </c>
      <c r="B3" s="0" t="s">
        <v>52</v>
      </c>
      <c r="C3" s="0" t="s">
        <v>55</v>
      </c>
      <c r="D3" s="0" t="s">
        <v>56</v>
      </c>
      <c r="E3" s="0" t="s">
        <v>53</v>
      </c>
      <c r="F3" s="0" t="s">
        <v>57</v>
      </c>
    </row>
    <row r="4">
      <c r="A4" s="0">
        <v>3</v>
      </c>
      <c r="B4" s="0" t="s">
        <v>52</v>
      </c>
      <c r="C4" s="0" t="s">
        <v>57</v>
      </c>
      <c r="D4" s="0" t="s">
        <v>58</v>
      </c>
      <c r="E4" s="0" t="s">
        <v>59</v>
      </c>
      <c r="F4" s="0" t="s">
        <v>55</v>
      </c>
    </row>
    <row r="5">
      <c r="A5" s="0">
        <v>4</v>
      </c>
      <c r="B5" s="0" t="s">
        <v>52</v>
      </c>
      <c r="C5" s="0" t="s">
        <v>60</v>
      </c>
      <c r="D5" s="0" t="s">
        <v>61</v>
      </c>
      <c r="E5" s="0" t="s">
        <v>62</v>
      </c>
      <c r="F5" s="0" t="s">
        <v>63</v>
      </c>
    </row>
    <row r="6">
      <c r="A6" s="0">
        <v>5</v>
      </c>
      <c r="B6" s="0" t="s">
        <v>52</v>
      </c>
      <c r="C6" s="0" t="s">
        <v>52</v>
      </c>
      <c r="D6" s="0" t="s">
        <v>64</v>
      </c>
      <c r="E6" s="0" t="s">
        <v>65</v>
      </c>
      <c r="F6" s="0" t="s">
        <v>64</v>
      </c>
    </row>
    <row r="7">
      <c r="A7" s="0">
        <v>6</v>
      </c>
      <c r="B7" s="0" t="s">
        <v>52</v>
      </c>
      <c r="C7" s="0" t="s">
        <v>65</v>
      </c>
      <c r="D7" s="0" t="s">
        <v>64</v>
      </c>
      <c r="E7" s="0" t="s">
        <v>65</v>
      </c>
      <c r="F7" s="0" t="s">
        <v>65</v>
      </c>
    </row>
    <row r="8">
      <c r="A8" s="0">
        <v>7</v>
      </c>
      <c r="B8" s="0" t="s">
        <v>52</v>
      </c>
      <c r="C8" s="0" t="s">
        <v>66</v>
      </c>
      <c r="D8" s="0" t="s">
        <v>65</v>
      </c>
      <c r="E8" s="0" t="s">
        <v>66</v>
      </c>
      <c r="F8" s="0" t="s">
        <v>65</v>
      </c>
    </row>
    <row r="9">
      <c r="A9" s="0">
        <v>8</v>
      </c>
      <c r="B9" s="0" t="s">
        <v>52</v>
      </c>
      <c r="C9" s="0" t="s">
        <v>67</v>
      </c>
      <c r="D9" s="0" t="s">
        <v>65</v>
      </c>
      <c r="E9" s="0" t="s">
        <v>64</v>
      </c>
      <c r="F9" s="0" t="s">
        <v>55</v>
      </c>
    </row>
    <row r="10">
      <c r="A10" s="0">
        <v>9</v>
      </c>
      <c r="B10" s="0" t="s">
        <v>52</v>
      </c>
      <c r="C10" s="0" t="s">
        <v>64</v>
      </c>
      <c r="D10" s="0" t="s">
        <v>62</v>
      </c>
      <c r="E10" s="0" t="s">
        <v>64</v>
      </c>
      <c r="F10" s="0" t="s">
        <v>67</v>
      </c>
    </row>
    <row r="11">
      <c r="A11" s="0">
        <v>10</v>
      </c>
      <c r="B11" s="0" t="s">
        <v>65</v>
      </c>
      <c r="C11" s="0" t="s">
        <v>65</v>
      </c>
      <c r="D11" s="0" t="s">
        <v>68</v>
      </c>
      <c r="E11" s="0" t="s">
        <v>65</v>
      </c>
      <c r="F11" s="0" t="s">
        <v>66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0.9614295959473" customWidth="1"/>
    <col min="2" max="2" width="51.4917411804199" customWidth="1"/>
    <col min="3" max="3" width="97.2800445556641" customWidth="1"/>
    <col min="4" max="4" width="77.861244201660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62.9817886352539" customWidth="1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</row>
    <row r="2">
      <c r="A2" s="0" t="s">
        <v>52</v>
      </c>
      <c r="B2" s="0" t="s">
        <v>83</v>
      </c>
      <c r="C2" s="1" t="s">
        <v>84</v>
      </c>
      <c r="D2" s="1" t="s">
        <v>85</v>
      </c>
      <c r="E2" s="0">
        <v>401</v>
      </c>
      <c r="F2" s="0">
        <v>118</v>
      </c>
      <c r="G2" s="0">
        <v>22601</v>
      </c>
      <c r="H2" s="0">
        <v>1</v>
      </c>
      <c r="I2" s="0">
        <v>100</v>
      </c>
      <c r="J2" s="0">
        <v>0.435</v>
      </c>
      <c r="K2" s="0">
        <v>0.8</v>
      </c>
      <c r="L2" s="0">
        <v>0.25</v>
      </c>
      <c r="M2" s="0">
        <v>0</v>
      </c>
      <c r="N2" s="0" t="s">
        <v>6</v>
      </c>
    </row>
    <row r="3">
      <c r="A3" s="0" t="s">
        <v>52</v>
      </c>
      <c r="B3" s="0" t="s">
        <v>86</v>
      </c>
      <c r="C3" s="1" t="s">
        <v>87</v>
      </c>
      <c r="D3" s="1" t="s">
        <v>88</v>
      </c>
      <c r="E3" s="0">
        <v>401</v>
      </c>
      <c r="F3" s="0">
        <v>110</v>
      </c>
      <c r="G3" s="0">
        <v>22525</v>
      </c>
      <c r="H3" s="0">
        <v>2</v>
      </c>
      <c r="I3" s="0">
        <v>98.5</v>
      </c>
      <c r="J3" s="0">
        <v>0.435</v>
      </c>
      <c r="K3" s="0">
        <v>0.8</v>
      </c>
      <c r="L3" s="0">
        <v>0.25</v>
      </c>
      <c r="M3" s="0">
        <v>0</v>
      </c>
      <c r="N3" s="0" t="s">
        <v>11</v>
      </c>
    </row>
    <row r="4">
      <c r="A4" s="0" t="s">
        <v>52</v>
      </c>
      <c r="B4" s="0" t="s">
        <v>89</v>
      </c>
      <c r="C4" s="1" t="s">
        <v>90</v>
      </c>
      <c r="D4" s="1" t="s">
        <v>91</v>
      </c>
      <c r="E4" s="0">
        <v>401</v>
      </c>
      <c r="F4" s="0">
        <v>106</v>
      </c>
      <c r="G4" s="0">
        <v>22561</v>
      </c>
      <c r="H4" s="0">
        <v>3</v>
      </c>
      <c r="I4" s="0">
        <v>96</v>
      </c>
      <c r="J4" s="0">
        <v>0.435</v>
      </c>
      <c r="K4" s="0">
        <v>0.8</v>
      </c>
      <c r="L4" s="0">
        <v>0.25</v>
      </c>
      <c r="M4" s="0">
        <v>0</v>
      </c>
      <c r="N4" s="0" t="s">
        <v>15</v>
      </c>
    </row>
    <row r="5">
      <c r="A5" s="0" t="s">
        <v>52</v>
      </c>
      <c r="B5" s="0" t="s">
        <v>92</v>
      </c>
      <c r="C5" s="1" t="s">
        <v>93</v>
      </c>
      <c r="D5" s="1" t="s">
        <v>94</v>
      </c>
      <c r="E5" s="0">
        <v>401</v>
      </c>
      <c r="F5" s="0">
        <v>106</v>
      </c>
      <c r="G5" s="0">
        <v>22561</v>
      </c>
      <c r="H5" s="0">
        <v>4</v>
      </c>
      <c r="I5" s="0">
        <v>93.5</v>
      </c>
      <c r="J5" s="0">
        <v>0.435</v>
      </c>
      <c r="K5" s="0">
        <v>0.8</v>
      </c>
      <c r="L5" s="0">
        <v>0.25</v>
      </c>
      <c r="M5" s="0">
        <v>0</v>
      </c>
      <c r="N5" s="0" t="s">
        <v>20</v>
      </c>
    </row>
    <row r="6">
      <c r="A6" s="0" t="s">
        <v>52</v>
      </c>
      <c r="B6" s="0" t="s">
        <v>95</v>
      </c>
      <c r="C6" s="1" t="s">
        <v>96</v>
      </c>
      <c r="D6" s="1" t="s">
        <v>97</v>
      </c>
      <c r="E6" s="0">
        <v>401</v>
      </c>
      <c r="F6" s="0">
        <v>139</v>
      </c>
      <c r="G6" s="0">
        <v>22557</v>
      </c>
      <c r="H6" s="0">
        <v>5</v>
      </c>
      <c r="I6" s="0">
        <v>91</v>
      </c>
      <c r="J6" s="0">
        <v>0.435</v>
      </c>
      <c r="K6" s="0">
        <v>0.8</v>
      </c>
      <c r="L6" s="0">
        <v>0.25</v>
      </c>
      <c r="M6" s="0">
        <v>0</v>
      </c>
      <c r="N6" s="0" t="s">
        <v>25</v>
      </c>
    </row>
    <row r="7">
      <c r="A7" s="0" t="s">
        <v>52</v>
      </c>
      <c r="B7" s="0" t="s">
        <v>98</v>
      </c>
      <c r="C7" s="1" t="s">
        <v>99</v>
      </c>
      <c r="D7" s="1" t="s">
        <v>100</v>
      </c>
      <c r="E7" s="0">
        <v>401</v>
      </c>
      <c r="F7" s="0">
        <v>124</v>
      </c>
      <c r="G7" s="0">
        <v>22433</v>
      </c>
      <c r="H7" s="0">
        <v>6</v>
      </c>
      <c r="I7" s="0">
        <v>88</v>
      </c>
      <c r="J7" s="0">
        <v>0.435</v>
      </c>
      <c r="K7" s="0">
        <v>0.8</v>
      </c>
      <c r="L7" s="0">
        <v>0.25</v>
      </c>
      <c r="M7" s="0">
        <v>0</v>
      </c>
      <c r="N7" s="0" t="s">
        <v>30</v>
      </c>
    </row>
    <row r="8">
      <c r="A8" s="0" t="s">
        <v>52</v>
      </c>
      <c r="B8" s="0" t="s">
        <v>101</v>
      </c>
      <c r="C8" s="1" t="s">
        <v>102</v>
      </c>
      <c r="D8" s="1" t="s">
        <v>103</v>
      </c>
      <c r="E8" s="0">
        <v>401</v>
      </c>
      <c r="F8" s="0">
        <v>103</v>
      </c>
      <c r="G8" s="0">
        <v>22465</v>
      </c>
      <c r="H8" s="0">
        <v>7</v>
      </c>
      <c r="I8" s="0">
        <v>85.5</v>
      </c>
      <c r="J8" s="0">
        <v>0.435</v>
      </c>
      <c r="K8" s="0">
        <v>0.8</v>
      </c>
      <c r="L8" s="0">
        <v>0.25</v>
      </c>
      <c r="M8" s="0">
        <v>0</v>
      </c>
      <c r="N8" s="0" t="s">
        <v>34</v>
      </c>
    </row>
    <row r="9">
      <c r="A9" s="0" t="s">
        <v>52</v>
      </c>
      <c r="B9" s="0" t="s">
        <v>104</v>
      </c>
      <c r="C9" s="1" t="s">
        <v>105</v>
      </c>
      <c r="D9" s="1" t="s">
        <v>106</v>
      </c>
      <c r="E9" s="0">
        <v>401</v>
      </c>
      <c r="F9" s="0">
        <v>103</v>
      </c>
      <c r="G9" s="0">
        <v>22533</v>
      </c>
      <c r="H9" s="0">
        <v>8</v>
      </c>
      <c r="I9" s="0">
        <v>83</v>
      </c>
      <c r="J9" s="0">
        <v>0.435</v>
      </c>
      <c r="K9" s="0">
        <v>0.8</v>
      </c>
      <c r="L9" s="0">
        <v>0.25</v>
      </c>
      <c r="M9" s="0">
        <v>0</v>
      </c>
      <c r="N9" s="0" t="s">
        <v>39</v>
      </c>
    </row>
    <row r="10">
      <c r="A10" s="0" t="s">
        <v>52</v>
      </c>
      <c r="B10" s="0" t="s">
        <v>107</v>
      </c>
      <c r="C10" s="1" t="s">
        <v>108</v>
      </c>
      <c r="D10" s="1" t="s">
        <v>109</v>
      </c>
      <c r="E10" s="0">
        <v>401</v>
      </c>
      <c r="F10" s="0">
        <v>102</v>
      </c>
      <c r="G10" s="0">
        <v>22621</v>
      </c>
      <c r="H10" s="0">
        <v>9</v>
      </c>
      <c r="I10" s="0">
        <v>80</v>
      </c>
      <c r="J10" s="0">
        <v>0.435</v>
      </c>
      <c r="K10" s="0">
        <v>0.8</v>
      </c>
      <c r="L10" s="0">
        <v>0.25</v>
      </c>
      <c r="M10" s="0">
        <v>0</v>
      </c>
      <c r="N10" s="0" t="s">
        <v>43</v>
      </c>
    </row>
    <row r="11">
      <c r="A11" s="0" t="s">
        <v>65</v>
      </c>
      <c r="B11" s="0" t="s">
        <v>110</v>
      </c>
      <c r="C11" s="1" t="s">
        <v>111</v>
      </c>
      <c r="D11" s="1" t="s">
        <v>112</v>
      </c>
      <c r="E11" s="0">
        <v>401</v>
      </c>
      <c r="F11" s="0">
        <v>93</v>
      </c>
      <c r="G11" s="0">
        <v>164</v>
      </c>
      <c r="H11" s="0">
        <v>10</v>
      </c>
      <c r="I11" s="0">
        <v>78</v>
      </c>
      <c r="J11" s="0">
        <v>0.435</v>
      </c>
      <c r="K11" s="0">
        <v>0.8</v>
      </c>
      <c r="L11" s="0">
        <v>0.25</v>
      </c>
      <c r="M11" s="0">
        <v>0</v>
      </c>
      <c r="N11" s="0" t="s">
        <v>48</v>
      </c>
    </row>
    <row r="13">
      <c r="A13" s="6" t="s">
        <v>113</v>
      </c>
    </row>
    <row r="14">
      <c r="A14" s="6" t="s">
        <v>114</v>
      </c>
      <c r="B14" s="6" t="s">
        <v>115</v>
      </c>
      <c r="C14" s="6" t="s">
        <v>116</v>
      </c>
      <c r="D14" s="6" t="s">
        <v>0</v>
      </c>
      <c r="E14" s="6" t="s">
        <v>117</v>
      </c>
      <c r="F14" s="6" t="s">
        <v>118</v>
      </c>
    </row>
    <row r="15">
      <c r="B15" s="0">
        <f>=IFERROR(INDEX('CLEAN'!$B$2:$B$9999,1),"")</f>
      </c>
      <c r="C15" s="0">
        <f>=IFERROR(INDEX('CLEAN'!$C$2:$C$9999,1),"")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=IFERROR(INDEX('CLEAN'!$B$2:$B$9999,2),"")</f>
      </c>
      <c r="C16" s="0">
        <f>=IFERROR(INDEX('CLEAN'!$C$2:$C$9999,2),"")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=IFERROR(INDEX('CLEAN'!$B$2:$B$9999,3),"")</f>
      </c>
      <c r="C17" s="0">
        <f>=IFERROR(INDEX('CLEAN'!$C$2:$C$9999,3),"")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=IFERROR(INDEX('CLEAN'!$B$2:$B$9999,4),"")</f>
      </c>
      <c r="C18" s="0">
        <f>=IFERROR(INDEX('CLEAN'!$C$2:$C$9999,4),"")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=IFERROR(INDEX('CLEAN'!$B$2:$B$9999,5),"")</f>
      </c>
      <c r="C19" s="0">
        <f>=IFERROR(INDEX('CLEAN'!$C$2:$C$9999,5),"")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=IFERROR(INDEX('CLEAN'!$B$2:$B$9999,6),"")</f>
      </c>
      <c r="C20" s="0">
        <f>=IFERROR(INDEX('CLEAN'!$C$2:$C$9999,6),"")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=IFERROR(INDEX('CLEAN'!$B$2:$B$9999,7),"")</f>
      </c>
      <c r="C21" s="0">
        <f>=IFERROR(INDEX('CLEAN'!$C$2:$C$9999,7),"")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=IFERROR(INDEX('CLEAN'!$B$2:$B$9999,8),"")</f>
      </c>
      <c r="C22" s="0">
        <f>=IFERROR(INDEX('CLEAN'!$C$2:$C$9999,8),"")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=IFERROR(INDEX('CLEAN'!$B$2:$B$9999,9),"")</f>
      </c>
      <c r="C23" s="0">
        <f>=IFERROR(INDEX('CLEAN'!$C$2:$C$9999,9),"")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=IFERROR(INDEX('CLEAN'!$B$2:$B$9999,10),"")</f>
      </c>
      <c r="C24" s="0">
        <f>=IFERROR(INDEX('CLEAN'!$C$2:$C$9999,10),"")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119</v>
      </c>
      <c r="F26" s="6">
        <f>=AVERAGE(F15:F24)</f>
      </c>
    </row>
    <row r="28">
      <c r="A28" s="6" t="s">
        <v>120</v>
      </c>
    </row>
    <row r="29">
      <c r="A29" s="6" t="s">
        <v>114</v>
      </c>
      <c r="B29" s="6" t="s">
        <v>115</v>
      </c>
      <c r="C29" s="6" t="s">
        <v>116</v>
      </c>
      <c r="D29" s="6" t="s">
        <v>0</v>
      </c>
      <c r="E29" s="6" t="s">
        <v>117</v>
      </c>
      <c r="F29" s="6" t="s">
        <v>118</v>
      </c>
    </row>
    <row r="30">
      <c r="B30" s="0">
        <f>=IFERROR(INDEX('CLEAN'!$B$2:$B$9999,1),"")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=IFERROR(INDEX('CLEAN'!$B$2:$B$9999,2),"")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=IFERROR(INDEX('CLEAN'!$B$2:$B$9999,3),"")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=IFERROR(INDEX('CLEAN'!$B$2:$B$9999,4),"")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=IFERROR(INDEX('CLEAN'!$B$2:$B$9999,5),"")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=IFERROR(INDEX('CLEAN'!$B$2:$B$9999,6),"")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=IFERROR(INDEX('CLEAN'!$B$2:$B$9999,7),"")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=IFERROR(INDEX('CLEAN'!$B$2:$B$9999,8),"")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=IFERROR(INDEX('CLEAN'!$B$2:$B$9999,9),"")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=IFERROR(INDEX('CLEAN'!$B$2:$B$9999,10),"")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119</v>
      </c>
      <c r="F41" s="6">
        <f>=AVERAGE(F30:F39)</f>
      </c>
    </row>
    <row r="43">
      <c r="A43" s="6" t="s">
        <v>121</v>
      </c>
    </row>
    <row r="44">
      <c r="A44" s="6" t="s">
        <v>114</v>
      </c>
      <c r="B44" s="6" t="s">
        <v>115</v>
      </c>
      <c r="C44" s="6" t="s">
        <v>116</v>
      </c>
      <c r="D44" s="6" t="s">
        <v>0</v>
      </c>
      <c r="E44" s="6" t="s">
        <v>117</v>
      </c>
      <c r="F44" s="6" t="s">
        <v>118</v>
      </c>
    </row>
    <row r="45">
      <c r="B45" s="0">
        <f>=IFERROR(INDEX('CLEAN'!$B$2:$B$9999,1),"")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=IFERROR(INDEX('CLEAN'!$B$2:$B$9999,2),"")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=IFERROR(INDEX('CLEAN'!$B$2:$B$9999,3),"")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=IFERROR(INDEX('CLEAN'!$B$2:$B$9999,4),"")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=IFERROR(INDEX('CLEAN'!$B$2:$B$9999,5),"")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=IFERROR(INDEX('CLEAN'!$B$2:$B$9999,6),"")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=IFERROR(INDEX('CLEAN'!$B$2:$B$9999,7),"")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=IFERROR(INDEX('CLEAN'!$B$2:$B$9999,8),"")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=IFERROR(INDEX('CLEAN'!$B$2:$B$9999,9),"")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=IFERROR(INDEX('CLEAN'!$B$2:$B$9999,10),"")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119</v>
      </c>
      <c r="F56" s="6">
        <f>=AVERAGE(F45:F54)</f>
      </c>
    </row>
    <row r="58">
      <c r="A58" s="6" t="s">
        <v>122</v>
      </c>
    </row>
    <row r="59">
      <c r="A59" s="6" t="s">
        <v>114</v>
      </c>
      <c r="B59" s="6" t="s">
        <v>115</v>
      </c>
      <c r="C59" s="6" t="s">
        <v>116</v>
      </c>
      <c r="D59" s="6" t="s">
        <v>0</v>
      </c>
      <c r="E59" s="6" t="s">
        <v>117</v>
      </c>
      <c r="F59" s="6" t="s">
        <v>118</v>
      </c>
    </row>
    <row r="60">
      <c r="B60" s="0">
        <f>=IFERROR(INDEX('CLEAN'!$B$2:$B$9999,1),"")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=IFERROR(INDEX('CLEAN'!$B$2:$B$9999,2),"")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=IFERROR(INDEX('CLEAN'!$B$2:$B$9999,3),"")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=IFERROR(INDEX('CLEAN'!$B$2:$B$9999,4),"")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=IFERROR(INDEX('CLEAN'!$B$2:$B$9999,5),"")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=IFERROR(INDEX('CLEAN'!$B$2:$B$9999,6),"")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=IFERROR(INDEX('CLEAN'!$B$2:$B$9999,7),"")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=IFERROR(INDEX('CLEAN'!$B$2:$B$9999,8),"")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=IFERROR(INDEX('CLEAN'!$B$2:$B$9999,9),"")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=IFERROR(INDEX('CLEAN'!$B$2:$B$9999,10),"")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116"/>
    <hyperlink ref="D2" r:id="rId117"/>
    <hyperlink ref="C3" r:id="rId118"/>
    <hyperlink ref="D3" r:id="rId119"/>
    <hyperlink ref="C4" r:id="rId120"/>
    <hyperlink ref="D4" r:id="rId121"/>
    <hyperlink ref="C5" r:id="rId122"/>
    <hyperlink ref="D5" r:id="rId123"/>
    <hyperlink ref="C6" r:id="rId124"/>
    <hyperlink ref="D6" r:id="rId125"/>
    <hyperlink ref="C7" r:id="rId126"/>
    <hyperlink ref="D7" r:id="rId127"/>
    <hyperlink ref="C8" r:id="rId128"/>
    <hyperlink ref="D8" r:id="rId129"/>
    <hyperlink ref="C9" r:id="rId130"/>
    <hyperlink ref="D9" r:id="rId131"/>
    <hyperlink ref="C10" r:id="rId132"/>
    <hyperlink ref="D10" r:id="rId133"/>
    <hyperlink ref="C11" r:id="rId134"/>
    <hyperlink ref="D11" r:id="rId135"/>
  </hyperlink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30.699987411499" customWidth="1"/>
    <col min="2" max="2" width="39.3991088867188" customWidth="1"/>
    <col min="3" max="3" width="67.7676849365234" customWidth="1"/>
    <col min="4" max="4" width="96.1730880737305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55.0970230102539" customWidth="1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</row>
    <row r="2">
      <c r="A2" s="0" t="s">
        <v>53</v>
      </c>
      <c r="B2" s="0" t="s">
        <v>123</v>
      </c>
      <c r="C2" s="2" t="s">
        <v>124</v>
      </c>
      <c r="D2" s="2" t="s">
        <v>125</v>
      </c>
      <c r="E2" s="0">
        <v>404</v>
      </c>
      <c r="F2" s="0">
        <v>75</v>
      </c>
      <c r="G2" s="0">
        <v>0</v>
      </c>
      <c r="H2" s="0">
        <v>1</v>
      </c>
      <c r="I2" s="0">
        <v>98.5</v>
      </c>
      <c r="J2" s="0">
        <v>0.345</v>
      </c>
      <c r="K2" s="0">
        <v>0.6</v>
      </c>
      <c r="L2" s="0">
        <v>0.25</v>
      </c>
      <c r="M2" s="0">
        <v>0</v>
      </c>
      <c r="N2" s="0" t="s">
        <v>7</v>
      </c>
    </row>
    <row r="3">
      <c r="A3" s="0" t="s">
        <v>55</v>
      </c>
      <c r="B3" s="0" t="s">
        <v>126</v>
      </c>
      <c r="C3" s="0" t="s">
        <v>127</v>
      </c>
      <c r="D3" s="2" t="s">
        <v>128</v>
      </c>
      <c r="F3" s="0">
        <v>0</v>
      </c>
      <c r="H3" s="0">
        <v>2</v>
      </c>
      <c r="I3" s="0">
        <v>96</v>
      </c>
      <c r="J3" s="0">
        <v>0.075</v>
      </c>
      <c r="K3" s="0">
        <v>0</v>
      </c>
      <c r="L3" s="0">
        <v>0.25</v>
      </c>
      <c r="M3" s="0">
        <v>0</v>
      </c>
      <c r="N3" s="0" t="s">
        <v>12</v>
      </c>
    </row>
    <row r="4">
      <c r="A4" s="0" t="s">
        <v>57</v>
      </c>
      <c r="B4" s="0" t="s">
        <v>129</v>
      </c>
      <c r="C4" s="0" t="s">
        <v>130</v>
      </c>
      <c r="D4" s="2" t="s">
        <v>131</v>
      </c>
      <c r="F4" s="0">
        <v>0</v>
      </c>
      <c r="H4" s="0">
        <v>3</v>
      </c>
      <c r="I4" s="0">
        <v>94.2</v>
      </c>
      <c r="J4" s="0">
        <v>0.075</v>
      </c>
      <c r="K4" s="0">
        <v>0</v>
      </c>
      <c r="L4" s="0">
        <v>0.25</v>
      </c>
      <c r="M4" s="0">
        <v>0</v>
      </c>
      <c r="N4" s="0" t="s">
        <v>16</v>
      </c>
    </row>
    <row r="5">
      <c r="A5" s="0" t="s">
        <v>60</v>
      </c>
      <c r="B5" s="0" t="s">
        <v>132</v>
      </c>
      <c r="C5" s="0" t="s">
        <v>133</v>
      </c>
      <c r="D5" s="2" t="s">
        <v>112</v>
      </c>
      <c r="F5" s="0">
        <v>0</v>
      </c>
      <c r="H5" s="0">
        <v>4</v>
      </c>
      <c r="I5" s="0">
        <v>92.8</v>
      </c>
      <c r="J5" s="0">
        <v>0.075</v>
      </c>
      <c r="K5" s="0">
        <v>0</v>
      </c>
      <c r="L5" s="0">
        <v>0.25</v>
      </c>
      <c r="M5" s="0">
        <v>0</v>
      </c>
      <c r="N5" s="0" t="s">
        <v>21</v>
      </c>
    </row>
    <row r="6">
      <c r="A6" s="0" t="s">
        <v>52</v>
      </c>
      <c r="B6" s="0" t="s">
        <v>134</v>
      </c>
      <c r="C6" s="2" t="s">
        <v>135</v>
      </c>
      <c r="D6" s="2" t="s">
        <v>136</v>
      </c>
      <c r="E6" s="0">
        <v>401</v>
      </c>
      <c r="F6" s="0">
        <v>107</v>
      </c>
      <c r="G6" s="0">
        <v>22381</v>
      </c>
      <c r="H6" s="0">
        <v>5</v>
      </c>
      <c r="I6" s="0">
        <v>89.5</v>
      </c>
      <c r="J6" s="0">
        <v>0.435</v>
      </c>
      <c r="K6" s="0">
        <v>0.8</v>
      </c>
      <c r="L6" s="0">
        <v>0.25</v>
      </c>
      <c r="M6" s="0">
        <v>0</v>
      </c>
      <c r="N6" s="0" t="s">
        <v>26</v>
      </c>
    </row>
    <row r="7">
      <c r="A7" s="0" t="s">
        <v>65</v>
      </c>
      <c r="B7" s="0" t="s">
        <v>137</v>
      </c>
      <c r="C7" s="2" t="s">
        <v>138</v>
      </c>
      <c r="D7" s="2" t="s">
        <v>139</v>
      </c>
      <c r="F7" s="0">
        <v>1</v>
      </c>
      <c r="H7" s="0">
        <v>6</v>
      </c>
      <c r="I7" s="0">
        <v>86</v>
      </c>
      <c r="J7" s="0">
        <v>0.075</v>
      </c>
      <c r="K7" s="0">
        <v>0</v>
      </c>
      <c r="L7" s="0">
        <v>0.25</v>
      </c>
      <c r="M7" s="0">
        <v>0</v>
      </c>
      <c r="N7" s="0" t="s">
        <v>31</v>
      </c>
    </row>
    <row r="8">
      <c r="A8" s="0" t="s">
        <v>66</v>
      </c>
      <c r="B8" s="0" t="s">
        <v>140</v>
      </c>
      <c r="C8" s="2" t="s">
        <v>141</v>
      </c>
      <c r="D8" s="2" t="s">
        <v>142</v>
      </c>
      <c r="E8" s="0">
        <v>404</v>
      </c>
      <c r="F8" s="0">
        <v>81</v>
      </c>
      <c r="G8" s="0">
        <v>-1</v>
      </c>
      <c r="H8" s="0">
        <v>7</v>
      </c>
      <c r="I8" s="0">
        <v>82.5</v>
      </c>
      <c r="J8" s="0">
        <v>0.345</v>
      </c>
      <c r="K8" s="0">
        <v>0.6</v>
      </c>
      <c r="L8" s="0">
        <v>0.25</v>
      </c>
      <c r="M8" s="0">
        <v>0</v>
      </c>
      <c r="N8" s="0" t="s">
        <v>35</v>
      </c>
    </row>
    <row r="9">
      <c r="A9" s="0" t="s">
        <v>67</v>
      </c>
      <c r="B9" s="0" t="s">
        <v>143</v>
      </c>
      <c r="C9" s="2" t="s">
        <v>144</v>
      </c>
      <c r="D9" s="2" t="s">
        <v>145</v>
      </c>
      <c r="E9" s="0">
        <v>429</v>
      </c>
      <c r="F9" s="0">
        <v>37</v>
      </c>
      <c r="G9" s="0">
        <v>-1</v>
      </c>
      <c r="H9" s="0">
        <v>8</v>
      </c>
      <c r="I9" s="0">
        <v>78</v>
      </c>
      <c r="J9" s="0">
        <v>0.345</v>
      </c>
      <c r="K9" s="0">
        <v>0.6</v>
      </c>
      <c r="L9" s="0">
        <v>0.25</v>
      </c>
      <c r="M9" s="0">
        <v>0</v>
      </c>
      <c r="N9" s="0" t="s">
        <v>40</v>
      </c>
    </row>
    <row r="10">
      <c r="A10" s="0" t="s">
        <v>64</v>
      </c>
      <c r="B10" s="0" t="s">
        <v>146</v>
      </c>
      <c r="C10" s="2" t="s">
        <v>147</v>
      </c>
      <c r="D10" s="2" t="s">
        <v>148</v>
      </c>
      <c r="E10" s="0">
        <v>401</v>
      </c>
      <c r="F10" s="0">
        <v>78</v>
      </c>
      <c r="G10" s="0">
        <v>288</v>
      </c>
      <c r="H10" s="0">
        <v>9</v>
      </c>
      <c r="I10" s="0">
        <v>73.5</v>
      </c>
      <c r="J10" s="0">
        <v>0.435</v>
      </c>
      <c r="K10" s="0">
        <v>0.8</v>
      </c>
      <c r="L10" s="0">
        <v>0.25</v>
      </c>
      <c r="M10" s="0">
        <v>0</v>
      </c>
      <c r="N10" s="0" t="s">
        <v>44</v>
      </c>
    </row>
    <row r="11">
      <c r="A11" s="0" t="s">
        <v>65</v>
      </c>
      <c r="B11" s="0" t="s">
        <v>149</v>
      </c>
      <c r="C11" s="2" t="s">
        <v>150</v>
      </c>
      <c r="D11" s="2" t="s">
        <v>151</v>
      </c>
      <c r="E11" s="0">
        <v>405</v>
      </c>
      <c r="F11" s="0">
        <v>94</v>
      </c>
      <c r="G11" s="0">
        <v>31</v>
      </c>
      <c r="H11" s="0">
        <v>10</v>
      </c>
      <c r="I11" s="0">
        <v>68</v>
      </c>
      <c r="J11" s="0">
        <v>0.345</v>
      </c>
      <c r="K11" s="0">
        <v>0.6</v>
      </c>
      <c r="L11" s="0">
        <v>0.25</v>
      </c>
      <c r="M11" s="0">
        <v>0</v>
      </c>
      <c r="N11" s="0" t="s">
        <v>49</v>
      </c>
    </row>
    <row r="13">
      <c r="A13" s="6" t="s">
        <v>152</v>
      </c>
    </row>
    <row r="14">
      <c r="A14" s="6" t="s">
        <v>114</v>
      </c>
      <c r="B14" s="6" t="s">
        <v>115</v>
      </c>
      <c r="C14" s="6" t="s">
        <v>116</v>
      </c>
      <c r="D14" s="6" t="s">
        <v>0</v>
      </c>
      <c r="E14" s="6" t="s">
        <v>117</v>
      </c>
      <c r="F14" s="6" t="s">
        <v>118</v>
      </c>
    </row>
    <row r="15">
      <c r="B15" s="0">
        <f>=IFERROR(INDEX('CLEAN'!$C$2:$C$9999,1),"")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=IFERROR(INDEX('CLEAN'!$C$2:$C$9999,2),"")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=IFERROR(INDEX('CLEAN'!$C$2:$C$9999,3),"")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=IFERROR(INDEX('CLEAN'!$C$2:$C$9999,4),"")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=IFERROR(INDEX('CLEAN'!$C$2:$C$9999,5),"")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=IFERROR(INDEX('CLEAN'!$C$2:$C$9999,6),"")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=IFERROR(INDEX('CLEAN'!$C$2:$C$9999,7),"")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=IFERROR(INDEX('CLEAN'!$C$2:$C$9999,8),"")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=IFERROR(INDEX('CLEAN'!$C$2:$C$9999,9),"")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=IFERROR(INDEX('CLEAN'!$C$2:$C$9999,10),"")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119</v>
      </c>
      <c r="F26" s="6">
        <f>=AVERAGE(F15:F24)</f>
      </c>
    </row>
    <row r="28">
      <c r="A28" s="6" t="s">
        <v>153</v>
      </c>
    </row>
    <row r="29">
      <c r="A29" s="6" t="s">
        <v>114</v>
      </c>
      <c r="B29" s="6" t="s">
        <v>115</v>
      </c>
      <c r="C29" s="6" t="s">
        <v>116</v>
      </c>
      <c r="D29" s="6" t="s">
        <v>0</v>
      </c>
      <c r="E29" s="6" t="s">
        <v>117</v>
      </c>
      <c r="F29" s="6" t="s">
        <v>118</v>
      </c>
    </row>
    <row r="30">
      <c r="B30" s="0">
        <f>=IFERROR(INDEX('CLEAN'!$C$2:$C$9999,1),"")</f>
      </c>
      <c r="C30" s="0">
        <f>=IFERROR(INDEX('CLEAN'!$D$2:$D$9999,1),"")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=IFERROR(INDEX('CLEAN'!$C$2:$C$9999,2),"")</f>
      </c>
      <c r="C31" s="0">
        <f>=IFERROR(INDEX('CLEAN'!$D$2:$D$9999,2),"")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=IFERROR(INDEX('CLEAN'!$C$2:$C$9999,3),"")</f>
      </c>
      <c r="C32" s="0">
        <f>=IFERROR(INDEX('CLEAN'!$D$2:$D$9999,3),"")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=IFERROR(INDEX('CLEAN'!$C$2:$C$9999,4),"")</f>
      </c>
      <c r="C33" s="0">
        <f>=IFERROR(INDEX('CLEAN'!$D$2:$D$9999,4),"")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=IFERROR(INDEX('CLEAN'!$C$2:$C$9999,5),"")</f>
      </c>
      <c r="C34" s="0">
        <f>=IFERROR(INDEX('CLEAN'!$D$2:$D$9999,5),"")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=IFERROR(INDEX('CLEAN'!$C$2:$C$9999,6),"")</f>
      </c>
      <c r="C35" s="0">
        <f>=IFERROR(INDEX('CLEAN'!$D$2:$D$9999,6),"")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=IFERROR(INDEX('CLEAN'!$C$2:$C$9999,7),"")</f>
      </c>
      <c r="C36" s="0">
        <f>=IFERROR(INDEX('CLEAN'!$D$2:$D$9999,7),"")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=IFERROR(INDEX('CLEAN'!$C$2:$C$9999,8),"")</f>
      </c>
      <c r="C37" s="0">
        <f>=IFERROR(INDEX('CLEAN'!$D$2:$D$9999,8),"")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=IFERROR(INDEX('CLEAN'!$C$2:$C$9999,9),"")</f>
      </c>
      <c r="C38" s="0">
        <f>=IFERROR(INDEX('CLEAN'!$D$2:$D$9999,9),"")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=IFERROR(INDEX('CLEAN'!$C$2:$C$9999,10),"")</f>
      </c>
      <c r="C39" s="0">
        <f>=IFERROR(INDEX('CLEAN'!$D$2:$D$9999,10),"")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119</v>
      </c>
      <c r="F41" s="6">
        <f>=AVERAGE(F30:F39)</f>
      </c>
    </row>
    <row r="43">
      <c r="A43" s="6" t="s">
        <v>154</v>
      </c>
    </row>
    <row r="44">
      <c r="A44" s="6" t="s">
        <v>114</v>
      </c>
      <c r="B44" s="6" t="s">
        <v>115</v>
      </c>
      <c r="C44" s="6" t="s">
        <v>116</v>
      </c>
      <c r="D44" s="6" t="s">
        <v>0</v>
      </c>
      <c r="E44" s="6" t="s">
        <v>117</v>
      </c>
      <c r="F44" s="6" t="s">
        <v>118</v>
      </c>
    </row>
    <row r="45">
      <c r="B45" s="0">
        <f>=IFERROR(INDEX('CLEAN'!$C$2:$C$9999,1),"")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=IFERROR(INDEX('CLEAN'!$C$2:$C$9999,2),"")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=IFERROR(INDEX('CLEAN'!$C$2:$C$9999,3),"")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=IFERROR(INDEX('CLEAN'!$C$2:$C$9999,4),"")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=IFERROR(INDEX('CLEAN'!$C$2:$C$9999,5),"")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=IFERROR(INDEX('CLEAN'!$C$2:$C$9999,6),"")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=IFERROR(INDEX('CLEAN'!$C$2:$C$9999,7),"")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=IFERROR(INDEX('CLEAN'!$C$2:$C$9999,8),"")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=IFERROR(INDEX('CLEAN'!$C$2:$C$9999,9),"")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=IFERROR(INDEX('CLEAN'!$C$2:$C$9999,10),"")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119</v>
      </c>
      <c r="F56" s="6">
        <f>=AVERAGE(F45:F54)</f>
      </c>
    </row>
    <row r="58">
      <c r="A58" s="6" t="s">
        <v>155</v>
      </c>
    </row>
    <row r="59">
      <c r="A59" s="6" t="s">
        <v>114</v>
      </c>
      <c r="B59" s="6" t="s">
        <v>115</v>
      </c>
      <c r="C59" s="6" t="s">
        <v>116</v>
      </c>
      <c r="D59" s="6" t="s">
        <v>0</v>
      </c>
      <c r="E59" s="6" t="s">
        <v>117</v>
      </c>
      <c r="F59" s="6" t="s">
        <v>118</v>
      </c>
    </row>
    <row r="60">
      <c r="B60" s="0">
        <f>=IFERROR(INDEX('CLEAN'!$C$2:$C$9999,1),"")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=IFERROR(INDEX('CLEAN'!$C$2:$C$9999,2),"")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=IFERROR(INDEX('CLEAN'!$C$2:$C$9999,3),"")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=IFERROR(INDEX('CLEAN'!$C$2:$C$9999,4),"")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=IFERROR(INDEX('CLEAN'!$C$2:$C$9999,5),"")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=IFERROR(INDEX('CLEAN'!$C$2:$C$9999,6),"")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=IFERROR(INDEX('CLEAN'!$C$2:$C$9999,7),"")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=IFERROR(INDEX('CLEAN'!$C$2:$C$9999,8),"")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=IFERROR(INDEX('CLEAN'!$C$2:$C$9999,9),"")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=IFERROR(INDEX('CLEAN'!$C$2:$C$9999,10),"")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82"/>
    <hyperlink ref="D2" r:id="rId83"/>
    <hyperlink ref="D3" r:id="rId84"/>
    <hyperlink ref="D4" r:id="rId85"/>
    <hyperlink ref="D5" r:id="rId86"/>
    <hyperlink ref="C6" r:id="rId87"/>
    <hyperlink ref="D6" r:id="rId88"/>
    <hyperlink ref="C7" r:id="rId89"/>
    <hyperlink ref="D7" r:id="rId90"/>
    <hyperlink ref="C8" r:id="rId91"/>
    <hyperlink ref="D8" r:id="rId92"/>
    <hyperlink ref="C9" r:id="rId93"/>
    <hyperlink ref="D9" r:id="rId94"/>
    <hyperlink ref="C10" r:id="rId95"/>
    <hyperlink ref="D10" r:id="rId96"/>
    <hyperlink ref="C11" r:id="rId97"/>
    <hyperlink ref="D11" r:id="rId98"/>
  </hyperlinks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35.2250061035156" customWidth="1"/>
    <col min="2" max="2" width="41.3664627075195" customWidth="1"/>
    <col min="3" max="3" width="68.4132461547852" customWidth="1"/>
    <col min="4" max="4" width="85.6948471069336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47.1314353942871" customWidth="1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</row>
    <row r="2">
      <c r="A2" s="0" t="s">
        <v>54</v>
      </c>
      <c r="B2" s="0" t="s">
        <v>156</v>
      </c>
      <c r="C2" s="3" t="s">
        <v>157</v>
      </c>
      <c r="D2" s="3" t="s">
        <v>158</v>
      </c>
      <c r="E2" s="0">
        <v>429</v>
      </c>
      <c r="F2" s="0">
        <v>30</v>
      </c>
      <c r="G2" s="0">
        <v>-1</v>
      </c>
      <c r="H2" s="0">
        <v>1</v>
      </c>
      <c r="I2" s="0">
        <v>100</v>
      </c>
      <c r="J2" s="0">
        <v>0.291</v>
      </c>
      <c r="K2" s="0">
        <v>0.48</v>
      </c>
      <c r="L2" s="0">
        <v>0.25</v>
      </c>
      <c r="M2" s="0">
        <v>0</v>
      </c>
      <c r="N2" s="0" t="s">
        <v>8</v>
      </c>
    </row>
    <row r="3">
      <c r="A3" s="0" t="s">
        <v>56</v>
      </c>
      <c r="B3" s="0" t="s">
        <v>159</v>
      </c>
      <c r="C3" s="3" t="s">
        <v>160</v>
      </c>
      <c r="D3" s="3" t="s">
        <v>161</v>
      </c>
      <c r="E3" s="0">
        <v>429</v>
      </c>
      <c r="F3" s="0">
        <v>45</v>
      </c>
      <c r="G3" s="0">
        <v>-1</v>
      </c>
      <c r="H3" s="0">
        <v>2</v>
      </c>
      <c r="I3" s="0">
        <v>100</v>
      </c>
      <c r="J3" s="0">
        <v>0.291</v>
      </c>
      <c r="K3" s="0">
        <v>0.48</v>
      </c>
      <c r="L3" s="0">
        <v>0.25</v>
      </c>
      <c r="M3" s="0">
        <v>0</v>
      </c>
      <c r="N3" s="0" t="s">
        <v>13</v>
      </c>
    </row>
    <row r="4">
      <c r="A4" s="0" t="s">
        <v>58</v>
      </c>
      <c r="B4" s="0" t="s">
        <v>162</v>
      </c>
      <c r="C4" s="3" t="s">
        <v>163</v>
      </c>
      <c r="D4" s="3" t="s">
        <v>164</v>
      </c>
      <c r="E4" s="0">
        <v>429</v>
      </c>
      <c r="F4" s="0">
        <v>48</v>
      </c>
      <c r="G4" s="0">
        <v>-1</v>
      </c>
      <c r="H4" s="0">
        <v>3</v>
      </c>
      <c r="I4" s="0">
        <v>100</v>
      </c>
      <c r="J4" s="0">
        <v>0.291</v>
      </c>
      <c r="K4" s="0">
        <v>0.48</v>
      </c>
      <c r="L4" s="0">
        <v>0.25</v>
      </c>
      <c r="M4" s="0">
        <v>0</v>
      </c>
      <c r="N4" s="0" t="s">
        <v>17</v>
      </c>
    </row>
    <row r="5">
      <c r="A5" s="0" t="s">
        <v>61</v>
      </c>
      <c r="B5" s="0" t="s">
        <v>165</v>
      </c>
      <c r="C5" s="3" t="s">
        <v>166</v>
      </c>
      <c r="D5" s="3" t="s">
        <v>167</v>
      </c>
      <c r="E5" s="0">
        <v>429</v>
      </c>
      <c r="F5" s="0">
        <v>37</v>
      </c>
      <c r="G5" s="0">
        <v>-1</v>
      </c>
      <c r="H5" s="0">
        <v>4</v>
      </c>
      <c r="I5" s="0">
        <v>100</v>
      </c>
      <c r="J5" s="0">
        <v>0.291</v>
      </c>
      <c r="K5" s="0">
        <v>0.48</v>
      </c>
      <c r="L5" s="0">
        <v>0.25</v>
      </c>
      <c r="M5" s="0">
        <v>0</v>
      </c>
      <c r="N5" s="0" t="s">
        <v>22</v>
      </c>
    </row>
    <row r="6">
      <c r="A6" s="0" t="s">
        <v>64</v>
      </c>
      <c r="B6" s="0" t="s">
        <v>168</v>
      </c>
      <c r="C6" s="3" t="s">
        <v>169</v>
      </c>
      <c r="D6" s="3" t="s">
        <v>170</v>
      </c>
      <c r="F6" s="0">
        <v>0</v>
      </c>
      <c r="H6" s="0">
        <v>5</v>
      </c>
      <c r="I6" s="0">
        <v>95</v>
      </c>
      <c r="J6" s="0">
        <v>0.075</v>
      </c>
      <c r="K6" s="0">
        <v>0</v>
      </c>
      <c r="L6" s="0">
        <v>0.25</v>
      </c>
      <c r="M6" s="0">
        <v>0</v>
      </c>
      <c r="N6" s="0" t="s">
        <v>27</v>
      </c>
    </row>
    <row r="7">
      <c r="A7" s="0" t="s">
        <v>64</v>
      </c>
      <c r="B7" s="0" t="s">
        <v>171</v>
      </c>
      <c r="C7" s="3" t="s">
        <v>172</v>
      </c>
      <c r="D7" s="3" t="s">
        <v>173</v>
      </c>
      <c r="F7" s="0">
        <v>0</v>
      </c>
      <c r="H7" s="0">
        <v>6</v>
      </c>
      <c r="I7" s="0">
        <v>95</v>
      </c>
      <c r="J7" s="0">
        <v>0.075</v>
      </c>
      <c r="K7" s="0">
        <v>0</v>
      </c>
      <c r="L7" s="0">
        <v>0.25</v>
      </c>
      <c r="M7" s="0">
        <v>0</v>
      </c>
      <c r="N7" s="0" t="s">
        <v>32</v>
      </c>
    </row>
    <row r="8">
      <c r="A8" s="0" t="s">
        <v>65</v>
      </c>
      <c r="B8" s="0" t="s">
        <v>174</v>
      </c>
      <c r="C8" s="3" t="s">
        <v>111</v>
      </c>
      <c r="D8" s="3" t="s">
        <v>175</v>
      </c>
      <c r="E8" s="0">
        <v>401</v>
      </c>
      <c r="F8" s="0">
        <v>94</v>
      </c>
      <c r="G8" s="0">
        <v>164</v>
      </c>
      <c r="H8" s="0">
        <v>7</v>
      </c>
      <c r="I8" s="0">
        <v>90</v>
      </c>
      <c r="J8" s="0">
        <v>0.435</v>
      </c>
      <c r="K8" s="0">
        <v>0.8</v>
      </c>
      <c r="L8" s="0">
        <v>0.25</v>
      </c>
      <c r="M8" s="0">
        <v>0</v>
      </c>
      <c r="N8" s="0" t="s">
        <v>36</v>
      </c>
    </row>
    <row r="9">
      <c r="A9" s="0" t="s">
        <v>65</v>
      </c>
      <c r="B9" s="0" t="s">
        <v>176</v>
      </c>
      <c r="C9" s="3" t="s">
        <v>177</v>
      </c>
      <c r="D9" s="3" t="s">
        <v>178</v>
      </c>
      <c r="F9" s="0">
        <v>0</v>
      </c>
      <c r="H9" s="0">
        <v>8</v>
      </c>
      <c r="I9" s="0">
        <v>85</v>
      </c>
      <c r="J9" s="0">
        <v>0.075</v>
      </c>
      <c r="K9" s="0">
        <v>0</v>
      </c>
      <c r="L9" s="0">
        <v>0.25</v>
      </c>
      <c r="M9" s="0">
        <v>0</v>
      </c>
      <c r="N9" s="0" t="s">
        <v>33</v>
      </c>
    </row>
    <row r="10">
      <c r="A10" s="0" t="s">
        <v>62</v>
      </c>
      <c r="B10" s="0" t="s">
        <v>179</v>
      </c>
      <c r="C10" s="3" t="s">
        <v>180</v>
      </c>
      <c r="D10" s="3" t="s">
        <v>181</v>
      </c>
      <c r="E10" s="0">
        <v>404</v>
      </c>
      <c r="F10" s="0">
        <v>99</v>
      </c>
      <c r="G10" s="0">
        <v>29</v>
      </c>
      <c r="H10" s="0">
        <v>9</v>
      </c>
      <c r="I10" s="0">
        <v>80</v>
      </c>
      <c r="J10" s="0">
        <v>0.345</v>
      </c>
      <c r="K10" s="0">
        <v>0.6</v>
      </c>
      <c r="L10" s="0">
        <v>0.25</v>
      </c>
      <c r="M10" s="0">
        <v>0</v>
      </c>
      <c r="N10" s="0" t="s">
        <v>45</v>
      </c>
    </row>
    <row r="11">
      <c r="A11" s="0" t="s">
        <v>68</v>
      </c>
      <c r="B11" s="0" t="s">
        <v>182</v>
      </c>
      <c r="C11" s="3" t="s">
        <v>183</v>
      </c>
      <c r="D11" s="3" t="s">
        <v>184</v>
      </c>
      <c r="F11" s="0">
        <v>0</v>
      </c>
      <c r="H11" s="0">
        <v>10</v>
      </c>
      <c r="I11" s="0">
        <v>80</v>
      </c>
      <c r="J11" s="0">
        <v>0.075</v>
      </c>
      <c r="K11" s="0">
        <v>0</v>
      </c>
      <c r="L11" s="0">
        <v>0.25</v>
      </c>
      <c r="M11" s="0">
        <v>0</v>
      </c>
      <c r="N11" s="0" t="s">
        <v>50</v>
      </c>
    </row>
    <row r="13">
      <c r="A13" s="6" t="s">
        <v>185</v>
      </c>
    </row>
    <row r="14">
      <c r="A14" s="6" t="s">
        <v>114</v>
      </c>
      <c r="B14" s="6" t="s">
        <v>115</v>
      </c>
      <c r="C14" s="6" t="s">
        <v>116</v>
      </c>
      <c r="D14" s="6" t="s">
        <v>0</v>
      </c>
      <c r="E14" s="6" t="s">
        <v>117</v>
      </c>
      <c r="F14" s="6" t="s">
        <v>118</v>
      </c>
    </row>
    <row r="15">
      <c r="B15" s="0">
        <f>=IFERROR(INDEX('CLEAN'!$D$2:$D$9999,1),"")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=IFERROR(INDEX('CLEAN'!$D$2:$D$9999,2),"")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=IFERROR(INDEX('CLEAN'!$D$2:$D$9999,3),"")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=IFERROR(INDEX('CLEAN'!$D$2:$D$9999,4),"")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=IFERROR(INDEX('CLEAN'!$D$2:$D$9999,5),"")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=IFERROR(INDEX('CLEAN'!$D$2:$D$9999,6),"")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=IFERROR(INDEX('CLEAN'!$D$2:$D$9999,7),"")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=IFERROR(INDEX('CLEAN'!$D$2:$D$9999,8),"")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=IFERROR(INDEX('CLEAN'!$D$2:$D$9999,9),"")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=IFERROR(INDEX('CLEAN'!$D$2:$D$9999,10),"")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119</v>
      </c>
      <c r="F26" s="6">
        <f>=AVERAGE(F15:F24)</f>
      </c>
    </row>
    <row r="28">
      <c r="A28" s="6" t="s">
        <v>186</v>
      </c>
    </row>
    <row r="29">
      <c r="A29" s="6" t="s">
        <v>114</v>
      </c>
      <c r="B29" s="6" t="s">
        <v>115</v>
      </c>
      <c r="C29" s="6" t="s">
        <v>116</v>
      </c>
      <c r="D29" s="6" t="s">
        <v>0</v>
      </c>
      <c r="E29" s="6" t="s">
        <v>117</v>
      </c>
      <c r="F29" s="6" t="s">
        <v>118</v>
      </c>
    </row>
    <row r="30">
      <c r="B30" s="0">
        <f>=IFERROR(INDEX('CLEAN'!$D$2:$D$9999,1),"")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=IFERROR(INDEX('CLEAN'!$D$2:$D$9999,2),"")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=IFERROR(INDEX('CLEAN'!$D$2:$D$9999,3),"")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=IFERROR(INDEX('CLEAN'!$D$2:$D$9999,4),"")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=IFERROR(INDEX('CLEAN'!$D$2:$D$9999,5),"")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=IFERROR(INDEX('CLEAN'!$D$2:$D$9999,6),"")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=IFERROR(INDEX('CLEAN'!$D$2:$D$9999,7),"")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=IFERROR(INDEX('CLEAN'!$D$2:$D$9999,8),"")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=IFERROR(INDEX('CLEAN'!$D$2:$D$9999,9),"")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=IFERROR(INDEX('CLEAN'!$D$2:$D$9999,10),"")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119</v>
      </c>
      <c r="F41" s="6">
        <f>=AVERAGE(F30:F39)</f>
      </c>
    </row>
    <row r="43">
      <c r="A43" s="6" t="s">
        <v>187</v>
      </c>
    </row>
    <row r="44">
      <c r="A44" s="6" t="s">
        <v>114</v>
      </c>
      <c r="B44" s="6" t="s">
        <v>115</v>
      </c>
      <c r="C44" s="6" t="s">
        <v>116</v>
      </c>
      <c r="D44" s="6" t="s">
        <v>0</v>
      </c>
      <c r="E44" s="6" t="s">
        <v>117</v>
      </c>
      <c r="F44" s="6" t="s">
        <v>118</v>
      </c>
    </row>
    <row r="45">
      <c r="B45" s="0">
        <f>=IFERROR(INDEX('CLEAN'!$D$2:$D$9999,1),"")</f>
      </c>
      <c r="C45" s="0">
        <f>=IFERROR(INDEX('CLEAN'!$E$2:$E$9999,1),"")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=IFERROR(INDEX('CLEAN'!$D$2:$D$9999,2),"")</f>
      </c>
      <c r="C46" s="0">
        <f>=IFERROR(INDEX('CLEAN'!$E$2:$E$9999,2),"")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=IFERROR(INDEX('CLEAN'!$D$2:$D$9999,3),"")</f>
      </c>
      <c r="C47" s="0">
        <f>=IFERROR(INDEX('CLEAN'!$E$2:$E$9999,3),"")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=IFERROR(INDEX('CLEAN'!$D$2:$D$9999,4),"")</f>
      </c>
      <c r="C48" s="0">
        <f>=IFERROR(INDEX('CLEAN'!$E$2:$E$9999,4),"")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=IFERROR(INDEX('CLEAN'!$D$2:$D$9999,5),"")</f>
      </c>
      <c r="C49" s="0">
        <f>=IFERROR(INDEX('CLEAN'!$E$2:$E$9999,5),"")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=IFERROR(INDEX('CLEAN'!$D$2:$D$9999,6),"")</f>
      </c>
      <c r="C50" s="0">
        <f>=IFERROR(INDEX('CLEAN'!$E$2:$E$9999,6),"")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=IFERROR(INDEX('CLEAN'!$D$2:$D$9999,7),"")</f>
      </c>
      <c r="C51" s="0">
        <f>=IFERROR(INDEX('CLEAN'!$E$2:$E$9999,7),"")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=IFERROR(INDEX('CLEAN'!$D$2:$D$9999,8),"")</f>
      </c>
      <c r="C52" s="0">
        <f>=IFERROR(INDEX('CLEAN'!$E$2:$E$9999,8),"")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=IFERROR(INDEX('CLEAN'!$D$2:$D$9999,9),"")</f>
      </c>
      <c r="C53" s="0">
        <f>=IFERROR(INDEX('CLEAN'!$E$2:$E$9999,9),"")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=IFERROR(INDEX('CLEAN'!$D$2:$D$9999,10),"")</f>
      </c>
      <c r="C54" s="0">
        <f>=IFERROR(INDEX('CLEAN'!$E$2:$E$9999,10),"")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119</v>
      </c>
      <c r="F56" s="6">
        <f>=AVERAGE(F45:F54)</f>
      </c>
    </row>
    <row r="58">
      <c r="A58" s="6" t="s">
        <v>188</v>
      </c>
    </row>
    <row r="59">
      <c r="A59" s="6" t="s">
        <v>114</v>
      </c>
      <c r="B59" s="6" t="s">
        <v>115</v>
      </c>
      <c r="C59" s="6" t="s">
        <v>116</v>
      </c>
      <c r="D59" s="6" t="s">
        <v>0</v>
      </c>
      <c r="E59" s="6" t="s">
        <v>117</v>
      </c>
      <c r="F59" s="6" t="s">
        <v>118</v>
      </c>
    </row>
    <row r="60">
      <c r="B60" s="0">
        <f>=IFERROR(INDEX('CLEAN'!$D$2:$D$9999,1),"")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=IFERROR(INDEX('CLEAN'!$D$2:$D$9999,2),"")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=IFERROR(INDEX('CLEAN'!$D$2:$D$9999,3),"")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=IFERROR(INDEX('CLEAN'!$D$2:$D$9999,4),"")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=IFERROR(INDEX('CLEAN'!$D$2:$D$9999,5),"")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=IFERROR(INDEX('CLEAN'!$D$2:$D$9999,6),"")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=IFERROR(INDEX('CLEAN'!$D$2:$D$9999,7),"")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=IFERROR(INDEX('CLEAN'!$D$2:$D$9999,8),"")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=IFERROR(INDEX('CLEAN'!$D$2:$D$9999,9),"")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=IFERROR(INDEX('CLEAN'!$D$2:$D$9999,10),"")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78"/>
    <hyperlink ref="D2" r:id="rId79"/>
    <hyperlink ref="C3" r:id="rId80"/>
    <hyperlink ref="D3" r:id="rId81"/>
    <hyperlink ref="C4" r:id="rId82"/>
    <hyperlink ref="D4" r:id="rId83"/>
    <hyperlink ref="C5" r:id="rId84"/>
    <hyperlink ref="D5" r:id="rId85"/>
    <hyperlink ref="C6" r:id="rId86"/>
    <hyperlink ref="D6" r:id="rId87"/>
    <hyperlink ref="C7" r:id="rId88"/>
    <hyperlink ref="D7" r:id="rId89"/>
    <hyperlink ref="C8" r:id="rId90"/>
    <hyperlink ref="D8" r:id="rId91"/>
    <hyperlink ref="C9" r:id="rId92"/>
    <hyperlink ref="D9" r:id="rId93"/>
    <hyperlink ref="C10" r:id="rId94"/>
    <hyperlink ref="D10" r:id="rId95"/>
    <hyperlink ref="C11" r:id="rId96"/>
    <hyperlink ref="D11" r:id="rId97"/>
  </hyperlinks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27.9510135650635" customWidth="1"/>
    <col min="2" max="2" width="40.2277908325195" customWidth="1"/>
    <col min="3" max="3" width="55.538990020752" customWidth="1"/>
    <col min="4" max="4" width="95.467170715332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50.7254638671875" customWidth="1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</row>
    <row r="2">
      <c r="A2" s="0" t="s">
        <v>52</v>
      </c>
      <c r="B2" s="0" t="s">
        <v>189</v>
      </c>
      <c r="C2" s="4" t="s">
        <v>135</v>
      </c>
      <c r="D2" s="4" t="s">
        <v>190</v>
      </c>
      <c r="E2" s="0">
        <v>401</v>
      </c>
      <c r="F2" s="0">
        <v>114</v>
      </c>
      <c r="G2" s="0">
        <v>22447</v>
      </c>
      <c r="H2" s="0">
        <v>1</v>
      </c>
      <c r="I2" s="0">
        <v>99.5</v>
      </c>
      <c r="J2" s="0">
        <v>0.435</v>
      </c>
      <c r="K2" s="0">
        <v>0.8</v>
      </c>
      <c r="L2" s="0">
        <v>0.25</v>
      </c>
      <c r="M2" s="0">
        <v>0</v>
      </c>
      <c r="N2" s="0" t="s">
        <v>9</v>
      </c>
    </row>
    <row r="3">
      <c r="A3" s="0" t="s">
        <v>53</v>
      </c>
      <c r="B3" s="0" t="s">
        <v>191</v>
      </c>
      <c r="C3" s="4" t="s">
        <v>124</v>
      </c>
      <c r="D3" s="4" t="s">
        <v>125</v>
      </c>
      <c r="E3" s="0">
        <v>404</v>
      </c>
      <c r="F3" s="0">
        <v>264</v>
      </c>
      <c r="G3" s="0">
        <v>0</v>
      </c>
      <c r="H3" s="0">
        <v>2</v>
      </c>
      <c r="I3" s="0">
        <v>98.2</v>
      </c>
      <c r="J3" s="0">
        <v>0.345</v>
      </c>
      <c r="K3" s="0">
        <v>0.6</v>
      </c>
      <c r="L3" s="0">
        <v>0.25</v>
      </c>
      <c r="M3" s="0">
        <v>0</v>
      </c>
      <c r="N3" s="0" t="s">
        <v>7</v>
      </c>
    </row>
    <row r="4">
      <c r="A4" s="0" t="s">
        <v>59</v>
      </c>
      <c r="B4" s="0" t="s">
        <v>192</v>
      </c>
      <c r="C4" s="4" t="s">
        <v>193</v>
      </c>
      <c r="D4" s="4" t="s">
        <v>194</v>
      </c>
      <c r="F4" s="0">
        <v>1</v>
      </c>
      <c r="H4" s="0">
        <v>3</v>
      </c>
      <c r="I4" s="0">
        <v>96.8</v>
      </c>
      <c r="J4" s="0">
        <v>0.075</v>
      </c>
      <c r="K4" s="0">
        <v>0</v>
      </c>
      <c r="L4" s="0">
        <v>0.25</v>
      </c>
      <c r="M4" s="0">
        <v>0</v>
      </c>
      <c r="N4" s="0" t="s">
        <v>18</v>
      </c>
    </row>
    <row r="5">
      <c r="A5" s="0" t="s">
        <v>62</v>
      </c>
      <c r="B5" s="0" t="s">
        <v>195</v>
      </c>
      <c r="C5" s="4" t="s">
        <v>180</v>
      </c>
      <c r="D5" s="4" t="s">
        <v>181</v>
      </c>
      <c r="E5" s="0">
        <v>404</v>
      </c>
      <c r="F5" s="0">
        <v>108</v>
      </c>
      <c r="G5" s="0">
        <v>29</v>
      </c>
      <c r="H5" s="0">
        <v>4</v>
      </c>
      <c r="I5" s="0">
        <v>95.1</v>
      </c>
      <c r="J5" s="0">
        <v>0.345</v>
      </c>
      <c r="K5" s="0">
        <v>0.6</v>
      </c>
      <c r="L5" s="0">
        <v>0.25</v>
      </c>
      <c r="M5" s="0">
        <v>0</v>
      </c>
      <c r="N5" s="0" t="s">
        <v>23</v>
      </c>
    </row>
    <row r="6">
      <c r="A6" s="0" t="s">
        <v>65</v>
      </c>
      <c r="B6" s="0" t="s">
        <v>137</v>
      </c>
      <c r="C6" s="4" t="s">
        <v>138</v>
      </c>
      <c r="D6" s="4" t="s">
        <v>139</v>
      </c>
      <c r="F6" s="0">
        <v>0</v>
      </c>
      <c r="H6" s="0">
        <v>5</v>
      </c>
      <c r="I6" s="0">
        <v>92.3</v>
      </c>
      <c r="J6" s="0">
        <v>0.075</v>
      </c>
      <c r="K6" s="0">
        <v>0</v>
      </c>
      <c r="L6" s="0">
        <v>0.25</v>
      </c>
      <c r="M6" s="0">
        <v>0</v>
      </c>
      <c r="N6" s="0" t="s">
        <v>28</v>
      </c>
    </row>
    <row r="7">
      <c r="A7" s="0" t="s">
        <v>65</v>
      </c>
      <c r="B7" s="0" t="s">
        <v>196</v>
      </c>
      <c r="C7" s="4" t="s">
        <v>177</v>
      </c>
      <c r="D7" s="4" t="s">
        <v>197</v>
      </c>
      <c r="F7" s="0">
        <v>1</v>
      </c>
      <c r="H7" s="0">
        <v>6</v>
      </c>
      <c r="I7" s="0">
        <v>89.7</v>
      </c>
      <c r="J7" s="0">
        <v>0.075</v>
      </c>
      <c r="K7" s="0">
        <v>0</v>
      </c>
      <c r="L7" s="0">
        <v>0.25</v>
      </c>
      <c r="M7" s="0">
        <v>0</v>
      </c>
      <c r="N7" s="0" t="s">
        <v>33</v>
      </c>
    </row>
    <row r="8">
      <c r="A8" s="0" t="s">
        <v>66</v>
      </c>
      <c r="B8" s="0" t="s">
        <v>198</v>
      </c>
      <c r="C8" s="4" t="s">
        <v>141</v>
      </c>
      <c r="D8" s="4" t="s">
        <v>199</v>
      </c>
      <c r="E8" s="0">
        <v>405</v>
      </c>
      <c r="F8" s="0">
        <v>80</v>
      </c>
      <c r="G8" s="0">
        <v>-1</v>
      </c>
      <c r="H8" s="0">
        <v>7</v>
      </c>
      <c r="I8" s="0">
        <v>86.4</v>
      </c>
      <c r="J8" s="0">
        <v>0.345</v>
      </c>
      <c r="K8" s="0">
        <v>0.6</v>
      </c>
      <c r="L8" s="0">
        <v>0.25</v>
      </c>
      <c r="M8" s="0">
        <v>0</v>
      </c>
      <c r="N8" s="0" t="s">
        <v>37</v>
      </c>
    </row>
    <row r="9">
      <c r="A9" s="0" t="s">
        <v>64</v>
      </c>
      <c r="B9" s="0" t="s">
        <v>200</v>
      </c>
      <c r="C9" s="4" t="s">
        <v>201</v>
      </c>
      <c r="D9" s="4" t="s">
        <v>202</v>
      </c>
      <c r="E9" s="0">
        <v>400</v>
      </c>
      <c r="F9" s="0">
        <v>95</v>
      </c>
      <c r="G9" s="0">
        <v>128</v>
      </c>
      <c r="H9" s="0">
        <v>8</v>
      </c>
      <c r="I9" s="0">
        <v>83.2</v>
      </c>
      <c r="J9" s="0">
        <v>0.345</v>
      </c>
      <c r="K9" s="0">
        <v>0.6</v>
      </c>
      <c r="L9" s="0">
        <v>0.25</v>
      </c>
      <c r="M9" s="0">
        <v>0</v>
      </c>
      <c r="N9" s="0" t="s">
        <v>41</v>
      </c>
    </row>
    <row r="10">
      <c r="A10" s="0" t="s">
        <v>64</v>
      </c>
      <c r="B10" s="0" t="s">
        <v>203</v>
      </c>
      <c r="C10" s="4" t="s">
        <v>147</v>
      </c>
      <c r="D10" s="4" t="s">
        <v>204</v>
      </c>
      <c r="E10" s="0">
        <v>401</v>
      </c>
      <c r="F10" s="0">
        <v>81</v>
      </c>
      <c r="G10" s="0">
        <v>288</v>
      </c>
      <c r="H10" s="0">
        <v>9</v>
      </c>
      <c r="I10" s="0">
        <v>79.8</v>
      </c>
      <c r="J10" s="0">
        <v>0.435</v>
      </c>
      <c r="K10" s="0">
        <v>0.8</v>
      </c>
      <c r="L10" s="0">
        <v>0.25</v>
      </c>
      <c r="M10" s="0">
        <v>0</v>
      </c>
      <c r="N10" s="0" t="s">
        <v>46</v>
      </c>
    </row>
    <row r="11">
      <c r="A11" s="0" t="s">
        <v>65</v>
      </c>
      <c r="B11" s="0" t="s">
        <v>205</v>
      </c>
      <c r="C11" s="4" t="s">
        <v>206</v>
      </c>
      <c r="D11" s="4" t="s">
        <v>207</v>
      </c>
      <c r="E11" s="0">
        <v>403</v>
      </c>
      <c r="F11" s="0">
        <v>749</v>
      </c>
      <c r="G11" s="0">
        <v>118</v>
      </c>
      <c r="H11" s="0">
        <v>10</v>
      </c>
      <c r="I11" s="0">
        <v>76.1</v>
      </c>
      <c r="J11" s="0">
        <v>0.435</v>
      </c>
      <c r="K11" s="0">
        <v>0.8</v>
      </c>
      <c r="L11" s="0">
        <v>0.25</v>
      </c>
      <c r="M11" s="0">
        <v>0</v>
      </c>
      <c r="N11" s="0" t="s">
        <v>51</v>
      </c>
    </row>
    <row r="13">
      <c r="A13" s="6" t="s">
        <v>208</v>
      </c>
    </row>
    <row r="14">
      <c r="A14" s="6" t="s">
        <v>114</v>
      </c>
      <c r="B14" s="6" t="s">
        <v>115</v>
      </c>
      <c r="C14" s="6" t="s">
        <v>116</v>
      </c>
      <c r="D14" s="6" t="s">
        <v>0</v>
      </c>
      <c r="E14" s="6" t="s">
        <v>117</v>
      </c>
      <c r="F14" s="6" t="s">
        <v>118</v>
      </c>
    </row>
    <row r="15">
      <c r="B15" s="0">
        <f>=IFERROR(INDEX('CLEAN'!$E$2:$E$9999,1),"")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=IFERROR(INDEX('CLEAN'!$E$2:$E$9999,2),"")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=IFERROR(INDEX('CLEAN'!$E$2:$E$9999,3),"")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=IFERROR(INDEX('CLEAN'!$E$2:$E$9999,4),"")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=IFERROR(INDEX('CLEAN'!$E$2:$E$9999,5),"")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=IFERROR(INDEX('CLEAN'!$E$2:$E$9999,6),"")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=IFERROR(INDEX('CLEAN'!$E$2:$E$9999,7),"")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=IFERROR(INDEX('CLEAN'!$E$2:$E$9999,8),"")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=IFERROR(INDEX('CLEAN'!$E$2:$E$9999,9),"")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=IFERROR(INDEX('CLEAN'!$E$2:$E$9999,10),"")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119</v>
      </c>
      <c r="F26" s="6">
        <f>=AVERAGE(F15:F24)</f>
      </c>
    </row>
    <row r="28">
      <c r="A28" s="6" t="s">
        <v>209</v>
      </c>
    </row>
    <row r="29">
      <c r="A29" s="6" t="s">
        <v>114</v>
      </c>
      <c r="B29" s="6" t="s">
        <v>115</v>
      </c>
      <c r="C29" s="6" t="s">
        <v>116</v>
      </c>
      <c r="D29" s="6" t="s">
        <v>0</v>
      </c>
      <c r="E29" s="6" t="s">
        <v>117</v>
      </c>
      <c r="F29" s="6" t="s">
        <v>118</v>
      </c>
    </row>
    <row r="30">
      <c r="B30" s="0">
        <f>=IFERROR(INDEX('CLEAN'!$E$2:$E$9999,1),"")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=IFERROR(INDEX('CLEAN'!$E$2:$E$9999,2),"")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=IFERROR(INDEX('CLEAN'!$E$2:$E$9999,3),"")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=IFERROR(INDEX('CLEAN'!$E$2:$E$9999,4),"")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=IFERROR(INDEX('CLEAN'!$E$2:$E$9999,5),"")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=IFERROR(INDEX('CLEAN'!$E$2:$E$9999,6),"")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=IFERROR(INDEX('CLEAN'!$E$2:$E$9999,7),"")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=IFERROR(INDEX('CLEAN'!$E$2:$E$9999,8),"")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=IFERROR(INDEX('CLEAN'!$E$2:$E$9999,9),"")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=IFERROR(INDEX('CLEAN'!$E$2:$E$9999,10),"")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119</v>
      </c>
      <c r="F41" s="6">
        <f>=AVERAGE(F30:F39)</f>
      </c>
    </row>
    <row r="43">
      <c r="A43" s="6" t="s">
        <v>210</v>
      </c>
    </row>
    <row r="44">
      <c r="A44" s="6" t="s">
        <v>114</v>
      </c>
      <c r="B44" s="6" t="s">
        <v>115</v>
      </c>
      <c r="C44" s="6" t="s">
        <v>116</v>
      </c>
      <c r="D44" s="6" t="s">
        <v>0</v>
      </c>
      <c r="E44" s="6" t="s">
        <v>117</v>
      </c>
      <c r="F44" s="6" t="s">
        <v>118</v>
      </c>
    </row>
    <row r="45">
      <c r="B45" s="0">
        <f>=IFERROR(INDEX('CLEAN'!$E$2:$E$9999,1),"")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=IFERROR(INDEX('CLEAN'!$E$2:$E$9999,2),"")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=IFERROR(INDEX('CLEAN'!$E$2:$E$9999,3),"")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=IFERROR(INDEX('CLEAN'!$E$2:$E$9999,4),"")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=IFERROR(INDEX('CLEAN'!$E$2:$E$9999,5),"")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=IFERROR(INDEX('CLEAN'!$E$2:$E$9999,6),"")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=IFERROR(INDEX('CLEAN'!$E$2:$E$9999,7),"")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=IFERROR(INDEX('CLEAN'!$E$2:$E$9999,8),"")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=IFERROR(INDEX('CLEAN'!$E$2:$E$9999,9),"")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=IFERROR(INDEX('CLEAN'!$E$2:$E$9999,10),"")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119</v>
      </c>
      <c r="F56" s="6">
        <f>=AVERAGE(F45:F54)</f>
      </c>
    </row>
    <row r="58">
      <c r="A58" s="6" t="s">
        <v>211</v>
      </c>
    </row>
    <row r="59">
      <c r="A59" s="6" t="s">
        <v>114</v>
      </c>
      <c r="B59" s="6" t="s">
        <v>115</v>
      </c>
      <c r="C59" s="6" t="s">
        <v>116</v>
      </c>
      <c r="D59" s="6" t="s">
        <v>0</v>
      </c>
      <c r="E59" s="6" t="s">
        <v>117</v>
      </c>
      <c r="F59" s="6" t="s">
        <v>118</v>
      </c>
    </row>
    <row r="60">
      <c r="B60" s="0">
        <f>=IFERROR(INDEX('CLEAN'!$E$2:$E$9999,1),"")</f>
      </c>
      <c r="C60" s="0">
        <f>=IFERROR(INDEX('CLEAN'!$F$2:$F$9999,1),"")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=IFERROR(INDEX('CLEAN'!$E$2:$E$9999,2),"")</f>
      </c>
      <c r="C61" s="0">
        <f>=IFERROR(INDEX('CLEAN'!$F$2:$F$9999,2),"")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=IFERROR(INDEX('CLEAN'!$E$2:$E$9999,3),"")</f>
      </c>
      <c r="C62" s="0">
        <f>=IFERROR(INDEX('CLEAN'!$F$2:$F$9999,3),"")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=IFERROR(INDEX('CLEAN'!$E$2:$E$9999,4),"")</f>
      </c>
      <c r="C63" s="0">
        <f>=IFERROR(INDEX('CLEAN'!$F$2:$F$9999,4),"")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=IFERROR(INDEX('CLEAN'!$E$2:$E$9999,5),"")</f>
      </c>
      <c r="C64" s="0">
        <f>=IFERROR(INDEX('CLEAN'!$F$2:$F$9999,5),"")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=IFERROR(INDEX('CLEAN'!$E$2:$E$9999,6),"")</f>
      </c>
      <c r="C65" s="0">
        <f>=IFERROR(INDEX('CLEAN'!$F$2:$F$9999,6),"")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=IFERROR(INDEX('CLEAN'!$E$2:$E$9999,7),"")</f>
      </c>
      <c r="C66" s="0">
        <f>=IFERROR(INDEX('CLEAN'!$F$2:$F$9999,7),"")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=IFERROR(INDEX('CLEAN'!$E$2:$E$9999,8),"")</f>
      </c>
      <c r="C67" s="0">
        <f>=IFERROR(INDEX('CLEAN'!$F$2:$F$9999,8),"")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=IFERROR(INDEX('CLEAN'!$E$2:$E$9999,9),"")</f>
      </c>
      <c r="C68" s="0">
        <f>=IFERROR(INDEX('CLEAN'!$F$2:$F$9999,9),"")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=IFERROR(INDEX('CLEAN'!$E$2:$E$9999,10),"")</f>
      </c>
      <c r="C69" s="0">
        <f>=IFERROR(INDEX('CLEAN'!$F$2:$F$9999,10),"")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59"/>
    <hyperlink ref="D2" r:id="rId60"/>
    <hyperlink ref="C3" r:id="rId61"/>
    <hyperlink ref="D3" r:id="rId62"/>
    <hyperlink ref="C4" r:id="rId63"/>
    <hyperlink ref="D4" r:id="rId64"/>
    <hyperlink ref="C5" r:id="rId65"/>
    <hyperlink ref="D5" r:id="rId66"/>
    <hyperlink ref="C6" r:id="rId67"/>
    <hyperlink ref="D6" r:id="rId68"/>
    <hyperlink ref="C7" r:id="rId69"/>
    <hyperlink ref="D7" r:id="rId70"/>
    <hyperlink ref="C8" r:id="rId71"/>
    <hyperlink ref="D8" r:id="rId72"/>
    <hyperlink ref="C9" r:id="rId73"/>
    <hyperlink ref="D9" r:id="rId74"/>
    <hyperlink ref="C10" r:id="rId75"/>
    <hyperlink ref="D10" r:id="rId76"/>
    <hyperlink ref="C11" r:id="rId77"/>
    <hyperlink ref="D11" r:id="rId78"/>
  </hyperlinks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N71"/>
  <sheetViews>
    <sheetView workbookViewId="0"/>
  </sheetViews>
  <sheetFormatPr defaultRowHeight="15"/>
  <cols>
    <col min="1" max="1" width="30.699987411499" customWidth="1"/>
    <col min="2" max="2" width="43.5343360900879" customWidth="1"/>
    <col min="3" max="3" width="66.5850296020508" customWidth="1"/>
    <col min="4" max="4" width="100.869979858398" customWidth="1"/>
    <col min="5" max="5" width="17.8707504272461" customWidth="1"/>
    <col min="6" max="6" width="22.5615043640137" customWidth="1"/>
    <col min="7" max="7" width="17.3213634490967" customWidth="1"/>
    <col min="8" max="8" width="9.140625" customWidth="1"/>
    <col min="9" max="9" width="13.7815570831299" customWidth="1"/>
    <col min="10" max="10" width="9.140625" customWidth="1"/>
    <col min="11" max="11" width="9.140625" customWidth="1"/>
    <col min="12" max="12" width="9.140625" customWidth="1"/>
    <col min="13" max="13" width="9.140625" customWidth="1"/>
    <col min="14" max="14" width="51.1807289123535" customWidth="1"/>
  </cols>
  <sheetData>
    <row r="1">
      <c r="A1" s="0" t="s">
        <v>69</v>
      </c>
      <c r="B1" s="0" t="s">
        <v>70</v>
      </c>
      <c r="C1" s="0" t="s">
        <v>71</v>
      </c>
      <c r="D1" s="0" t="s">
        <v>72</v>
      </c>
      <c r="E1" s="0" t="s">
        <v>73</v>
      </c>
      <c r="F1" s="0" t="s">
        <v>74</v>
      </c>
      <c r="G1" s="0" t="s">
        <v>75</v>
      </c>
      <c r="H1" s="0" t="s">
        <v>76</v>
      </c>
      <c r="I1" s="0" t="s">
        <v>77</v>
      </c>
      <c r="J1" s="0" t="s">
        <v>78</v>
      </c>
      <c r="K1" s="0" t="s">
        <v>79</v>
      </c>
      <c r="L1" s="0" t="s">
        <v>80</v>
      </c>
      <c r="M1" s="0" t="s">
        <v>81</v>
      </c>
      <c r="N1" s="0" t="s">
        <v>82</v>
      </c>
    </row>
    <row r="2">
      <c r="A2" s="0" t="s">
        <v>53</v>
      </c>
      <c r="B2" s="0" t="s">
        <v>212</v>
      </c>
      <c r="C2" s="5" t="s">
        <v>213</v>
      </c>
      <c r="D2" s="5" t="s">
        <v>125</v>
      </c>
      <c r="E2" s="0">
        <v>404</v>
      </c>
      <c r="F2" s="0">
        <v>248</v>
      </c>
      <c r="G2" s="0">
        <v>0</v>
      </c>
      <c r="H2" s="0">
        <v>1</v>
      </c>
      <c r="I2" s="0">
        <v>100</v>
      </c>
      <c r="J2" s="0">
        <v>0.345</v>
      </c>
      <c r="K2" s="0">
        <v>0.6</v>
      </c>
      <c r="L2" s="0">
        <v>0.25</v>
      </c>
      <c r="M2" s="0">
        <v>0</v>
      </c>
      <c r="N2" s="0" t="s">
        <v>10</v>
      </c>
    </row>
    <row r="3">
      <c r="A3" s="0" t="s">
        <v>57</v>
      </c>
      <c r="B3" s="0" t="s">
        <v>214</v>
      </c>
      <c r="C3" s="0" t="s">
        <v>215</v>
      </c>
      <c r="D3" s="5" t="s">
        <v>216</v>
      </c>
      <c r="F3" s="0">
        <v>0</v>
      </c>
      <c r="H3" s="0">
        <v>2</v>
      </c>
      <c r="I3" s="0">
        <v>99.5</v>
      </c>
      <c r="J3" s="0">
        <v>0.075</v>
      </c>
      <c r="K3" s="0">
        <v>0</v>
      </c>
      <c r="L3" s="0">
        <v>0.25</v>
      </c>
      <c r="M3" s="0">
        <v>0</v>
      </c>
      <c r="N3" s="0" t="s">
        <v>14</v>
      </c>
    </row>
    <row r="4">
      <c r="A4" s="0" t="s">
        <v>55</v>
      </c>
      <c r="B4" s="0" t="s">
        <v>217</v>
      </c>
      <c r="C4" s="0" t="s">
        <v>218</v>
      </c>
      <c r="D4" s="5" t="s">
        <v>219</v>
      </c>
      <c r="F4" s="0">
        <v>0</v>
      </c>
      <c r="H4" s="0">
        <v>3</v>
      </c>
      <c r="I4" s="0">
        <v>99</v>
      </c>
      <c r="J4" s="0">
        <v>0.075</v>
      </c>
      <c r="K4" s="0">
        <v>0</v>
      </c>
      <c r="L4" s="0">
        <v>0.25</v>
      </c>
      <c r="M4" s="0">
        <v>0</v>
      </c>
      <c r="N4" s="0" t="s">
        <v>19</v>
      </c>
    </row>
    <row r="5">
      <c r="A5" s="0" t="s">
        <v>63</v>
      </c>
      <c r="B5" s="0" t="s">
        <v>220</v>
      </c>
      <c r="C5" s="5" t="s">
        <v>221</v>
      </c>
      <c r="D5" s="5" t="s">
        <v>222</v>
      </c>
      <c r="E5" s="0">
        <v>401</v>
      </c>
      <c r="F5" s="0">
        <v>140</v>
      </c>
      <c r="G5" s="0">
        <v>-1</v>
      </c>
      <c r="H5" s="0">
        <v>4</v>
      </c>
      <c r="I5" s="0">
        <v>98.5</v>
      </c>
      <c r="J5" s="0">
        <v>0.435</v>
      </c>
      <c r="K5" s="0">
        <v>0.8</v>
      </c>
      <c r="L5" s="0">
        <v>0.25</v>
      </c>
      <c r="M5" s="0">
        <v>0</v>
      </c>
      <c r="N5" s="0" t="s">
        <v>24</v>
      </c>
    </row>
    <row r="6">
      <c r="A6" s="0" t="s">
        <v>64</v>
      </c>
      <c r="B6" s="0" t="s">
        <v>223</v>
      </c>
      <c r="C6" s="5" t="s">
        <v>224</v>
      </c>
      <c r="D6" s="5" t="s">
        <v>225</v>
      </c>
      <c r="E6" s="0">
        <v>405</v>
      </c>
      <c r="F6" s="0">
        <v>56</v>
      </c>
      <c r="G6" s="0">
        <v>0</v>
      </c>
      <c r="H6" s="0">
        <v>5</v>
      </c>
      <c r="I6" s="0">
        <v>98</v>
      </c>
      <c r="J6" s="0">
        <v>0.345</v>
      </c>
      <c r="K6" s="0">
        <v>0.6</v>
      </c>
      <c r="L6" s="0">
        <v>0.25</v>
      </c>
      <c r="M6" s="0">
        <v>0</v>
      </c>
      <c r="N6" s="0" t="s">
        <v>29</v>
      </c>
    </row>
    <row r="7">
      <c r="A7" s="0" t="s">
        <v>65</v>
      </c>
      <c r="B7" s="0" t="s">
        <v>226</v>
      </c>
      <c r="C7" s="5" t="s">
        <v>138</v>
      </c>
      <c r="D7" s="5" t="s">
        <v>139</v>
      </c>
      <c r="F7" s="0">
        <v>0</v>
      </c>
      <c r="H7" s="0">
        <v>6</v>
      </c>
      <c r="I7" s="0">
        <v>97.5</v>
      </c>
      <c r="J7" s="0">
        <v>0.075</v>
      </c>
      <c r="K7" s="0">
        <v>0</v>
      </c>
      <c r="L7" s="0">
        <v>0.25</v>
      </c>
      <c r="M7" s="0">
        <v>0</v>
      </c>
      <c r="N7" s="0" t="s">
        <v>28</v>
      </c>
    </row>
    <row r="8">
      <c r="A8" s="0" t="s">
        <v>65</v>
      </c>
      <c r="B8" s="0" t="s">
        <v>227</v>
      </c>
      <c r="C8" s="5" t="s">
        <v>228</v>
      </c>
      <c r="D8" s="5" t="s">
        <v>112</v>
      </c>
      <c r="E8" s="0">
        <v>401</v>
      </c>
      <c r="F8" s="0">
        <v>274</v>
      </c>
      <c r="G8" s="0">
        <v>164</v>
      </c>
      <c r="H8" s="0">
        <v>7</v>
      </c>
      <c r="I8" s="0">
        <v>97</v>
      </c>
      <c r="J8" s="0">
        <v>0.435</v>
      </c>
      <c r="K8" s="0">
        <v>0.8</v>
      </c>
      <c r="L8" s="0">
        <v>0.25</v>
      </c>
      <c r="M8" s="0">
        <v>0</v>
      </c>
      <c r="N8" s="0" t="s">
        <v>38</v>
      </c>
    </row>
    <row r="9">
      <c r="A9" s="0" t="s">
        <v>55</v>
      </c>
      <c r="B9" s="0" t="s">
        <v>179</v>
      </c>
      <c r="C9" s="0" t="s">
        <v>229</v>
      </c>
      <c r="D9" s="5" t="s">
        <v>230</v>
      </c>
      <c r="F9" s="0">
        <v>0</v>
      </c>
      <c r="H9" s="0">
        <v>8</v>
      </c>
      <c r="I9" s="0">
        <v>96.5</v>
      </c>
      <c r="J9" s="0">
        <v>0.345</v>
      </c>
      <c r="K9" s="0">
        <v>0.6</v>
      </c>
      <c r="L9" s="0">
        <v>0.25</v>
      </c>
      <c r="M9" s="0">
        <v>0</v>
      </c>
      <c r="N9" s="0" t="s">
        <v>42</v>
      </c>
    </row>
    <row r="10">
      <c r="A10" s="0" t="s">
        <v>67</v>
      </c>
      <c r="B10" s="0" t="s">
        <v>231</v>
      </c>
      <c r="C10" s="5" t="s">
        <v>144</v>
      </c>
      <c r="D10" s="5" t="s">
        <v>232</v>
      </c>
      <c r="E10" s="0">
        <v>429</v>
      </c>
      <c r="F10" s="0">
        <v>30</v>
      </c>
      <c r="G10" s="0">
        <v>-1</v>
      </c>
      <c r="H10" s="0">
        <v>9</v>
      </c>
      <c r="I10" s="0">
        <v>96</v>
      </c>
      <c r="J10" s="0">
        <v>0.345</v>
      </c>
      <c r="K10" s="0">
        <v>0.6</v>
      </c>
      <c r="L10" s="0">
        <v>0.25</v>
      </c>
      <c r="M10" s="0">
        <v>0</v>
      </c>
      <c r="N10" s="0" t="s">
        <v>47</v>
      </c>
    </row>
    <row r="11">
      <c r="A11" s="0" t="s">
        <v>66</v>
      </c>
      <c r="B11" s="0" t="s">
        <v>233</v>
      </c>
      <c r="C11" s="5" t="s">
        <v>141</v>
      </c>
      <c r="D11" s="5" t="s">
        <v>199</v>
      </c>
      <c r="E11" s="0">
        <v>404</v>
      </c>
      <c r="F11" s="0">
        <v>86</v>
      </c>
      <c r="G11" s="0">
        <v>-1</v>
      </c>
      <c r="H11" s="0">
        <v>10</v>
      </c>
      <c r="I11" s="0">
        <v>95.5</v>
      </c>
      <c r="J11" s="0">
        <v>0.345</v>
      </c>
      <c r="K11" s="0">
        <v>0.6</v>
      </c>
      <c r="L11" s="0">
        <v>0.25</v>
      </c>
      <c r="M11" s="0">
        <v>0</v>
      </c>
      <c r="N11" s="0" t="s">
        <v>37</v>
      </c>
    </row>
    <row r="13">
      <c r="A13" s="6" t="s">
        <v>234</v>
      </c>
    </row>
    <row r="14">
      <c r="A14" s="6" t="s">
        <v>114</v>
      </c>
      <c r="B14" s="6" t="s">
        <v>115</v>
      </c>
      <c r="C14" s="6" t="s">
        <v>116</v>
      </c>
      <c r="D14" s="6" t="s">
        <v>0</v>
      </c>
      <c r="E14" s="6" t="s">
        <v>117</v>
      </c>
      <c r="F14" s="6" t="s">
        <v>118</v>
      </c>
    </row>
    <row r="15">
      <c r="B15" s="0">
        <f>=IFERROR(INDEX('CLEAN'!$F$2:$F$9999,1),"")</f>
      </c>
      <c r="C15" s="0">
        <f>=IFERROR(INDEX('CLEAN'!$B$2:$B$9999,1),"")</f>
      </c>
      <c r="D15" s="0">
        <v>1</v>
      </c>
      <c r="E15" s="0">
        <f>SUMPRODUCT(N(ISNUMBER(SEARCH($B$15:$B15,TEXTJOIN(" ",TRUE,$C$15:$C15)))))</f>
      </c>
      <c r="F15" s="0">
        <f>=E15/D15</f>
      </c>
    </row>
    <row r="16">
      <c r="B16" s="0">
        <f>=IFERROR(INDEX('CLEAN'!$F$2:$F$9999,2),"")</f>
      </c>
      <c r="C16" s="0">
        <f>=IFERROR(INDEX('CLEAN'!$B$2:$B$9999,2),"")</f>
      </c>
      <c r="D16" s="0">
        <v>2</v>
      </c>
      <c r="E16" s="0">
        <f>SUMPRODUCT(N(ISNUMBER(SEARCH($B$15:$B16,TEXTJOIN(" ",TRUE,$C$15:$C16)))))</f>
      </c>
      <c r="F16" s="0">
        <f>=E16/D16</f>
      </c>
    </row>
    <row r="17">
      <c r="B17" s="0">
        <f>=IFERROR(INDEX('CLEAN'!$F$2:$F$9999,3),"")</f>
      </c>
      <c r="C17" s="0">
        <f>=IFERROR(INDEX('CLEAN'!$B$2:$B$9999,3),"")</f>
      </c>
      <c r="D17" s="0">
        <v>3</v>
      </c>
      <c r="E17" s="0">
        <f>SUMPRODUCT(N(ISNUMBER(SEARCH($B$15:$B17,TEXTJOIN(" ",TRUE,$C$15:$C17)))))</f>
      </c>
      <c r="F17" s="0">
        <f>=E17/D17</f>
      </c>
    </row>
    <row r="18">
      <c r="B18" s="0">
        <f>=IFERROR(INDEX('CLEAN'!$F$2:$F$9999,4),"")</f>
      </c>
      <c r="C18" s="0">
        <f>=IFERROR(INDEX('CLEAN'!$B$2:$B$9999,4),"")</f>
      </c>
      <c r="D18" s="0">
        <v>4</v>
      </c>
      <c r="E18" s="0">
        <f>SUMPRODUCT(N(ISNUMBER(SEARCH($B$15:$B18,TEXTJOIN(" ",TRUE,$C$15:$C18)))))</f>
      </c>
      <c r="F18" s="0">
        <f>=E18/D18</f>
      </c>
    </row>
    <row r="19">
      <c r="B19" s="0">
        <f>=IFERROR(INDEX('CLEAN'!$F$2:$F$9999,5),"")</f>
      </c>
      <c r="C19" s="0">
        <f>=IFERROR(INDEX('CLEAN'!$B$2:$B$9999,5),"")</f>
      </c>
      <c r="D19" s="0">
        <v>5</v>
      </c>
      <c r="E19" s="0">
        <f>SUMPRODUCT(N(ISNUMBER(SEARCH($B$15:$B19,TEXTJOIN(" ",TRUE,$C$15:$C19)))))</f>
      </c>
      <c r="F19" s="0">
        <f>=E19/D19</f>
      </c>
    </row>
    <row r="20">
      <c r="B20" s="0">
        <f>=IFERROR(INDEX('CLEAN'!$F$2:$F$9999,6),"")</f>
      </c>
      <c r="C20" s="0">
        <f>=IFERROR(INDEX('CLEAN'!$B$2:$B$9999,6),"")</f>
      </c>
      <c r="D20" s="0">
        <v>6</v>
      </c>
      <c r="E20" s="0">
        <f>SUMPRODUCT(N(ISNUMBER(SEARCH($B$15:$B20,TEXTJOIN(" ",TRUE,$C$15:$C20)))))</f>
      </c>
      <c r="F20" s="0">
        <f>=E20/D20</f>
      </c>
    </row>
    <row r="21">
      <c r="B21" s="0">
        <f>=IFERROR(INDEX('CLEAN'!$F$2:$F$9999,7),"")</f>
      </c>
      <c r="C21" s="0">
        <f>=IFERROR(INDEX('CLEAN'!$B$2:$B$9999,7),"")</f>
      </c>
      <c r="D21" s="0">
        <v>7</v>
      </c>
      <c r="E21" s="0">
        <f>SUMPRODUCT(N(ISNUMBER(SEARCH($B$15:$B21,TEXTJOIN(" ",TRUE,$C$15:$C21)))))</f>
      </c>
      <c r="F21" s="0">
        <f>=E21/D21</f>
      </c>
    </row>
    <row r="22">
      <c r="B22" s="0">
        <f>=IFERROR(INDEX('CLEAN'!$F$2:$F$9999,8),"")</f>
      </c>
      <c r="C22" s="0">
        <f>=IFERROR(INDEX('CLEAN'!$B$2:$B$9999,8),"")</f>
      </c>
      <c r="D22" s="0">
        <v>8</v>
      </c>
      <c r="E22" s="0">
        <f>SUMPRODUCT(N(ISNUMBER(SEARCH($B$15:$B22,TEXTJOIN(" ",TRUE,$C$15:$C22)))))</f>
      </c>
      <c r="F22" s="0">
        <f>=E22/D22</f>
      </c>
    </row>
    <row r="23">
      <c r="B23" s="0">
        <f>=IFERROR(INDEX('CLEAN'!$F$2:$F$9999,9),"")</f>
      </c>
      <c r="C23" s="0">
        <f>=IFERROR(INDEX('CLEAN'!$B$2:$B$9999,9),"")</f>
      </c>
      <c r="D23" s="0">
        <v>9</v>
      </c>
      <c r="E23" s="0">
        <f>SUMPRODUCT(N(ISNUMBER(SEARCH($B$15:$B23,TEXTJOIN(" ",TRUE,$C$15:$C23)))))</f>
      </c>
      <c r="F23" s="0">
        <f>=E23/D23</f>
      </c>
    </row>
    <row r="24">
      <c r="B24" s="0">
        <f>=IFERROR(INDEX('CLEAN'!$F$2:$F$9999,10),"")</f>
      </c>
      <c r="C24" s="0">
        <f>=IFERROR(INDEX('CLEAN'!$B$2:$B$9999,10),"")</f>
      </c>
      <c r="D24" s="0">
        <v>10</v>
      </c>
      <c r="E24" s="0">
        <f>SUMPRODUCT(N(ISNUMBER(SEARCH($B$15:$B24,TEXTJOIN(" ",TRUE,$C$15:$C24)))))</f>
      </c>
      <c r="F24" s="0">
        <f>=E24/D24</f>
      </c>
    </row>
    <row r="26">
      <c r="D26" s="6" t="s">
        <v>119</v>
      </c>
      <c r="F26" s="6">
        <f>=AVERAGE(F15:F24)</f>
      </c>
    </row>
    <row r="28">
      <c r="A28" s="6" t="s">
        <v>235</v>
      </c>
    </row>
    <row r="29">
      <c r="A29" s="6" t="s">
        <v>114</v>
      </c>
      <c r="B29" s="6" t="s">
        <v>115</v>
      </c>
      <c r="C29" s="6" t="s">
        <v>116</v>
      </c>
      <c r="D29" s="6" t="s">
        <v>0</v>
      </c>
      <c r="E29" s="6" t="s">
        <v>117</v>
      </c>
      <c r="F29" s="6" t="s">
        <v>118</v>
      </c>
    </row>
    <row r="30">
      <c r="B30" s="0">
        <f>=IFERROR(INDEX('CLEAN'!$F$2:$F$9999,1),"")</f>
      </c>
      <c r="C30" s="0">
        <f>=IFERROR(INDEX('CLEAN'!$C$2:$C$9999,1),"")</f>
      </c>
      <c r="D30" s="0">
        <v>1</v>
      </c>
      <c r="E30" s="0">
        <f>SUMPRODUCT(N(ISNUMBER(SEARCH($B$30:$B30,TEXTJOIN(" ",TRUE,$C$30:$C30)))))</f>
      </c>
      <c r="F30" s="0">
        <f>=E30/D30</f>
      </c>
    </row>
    <row r="31">
      <c r="B31" s="0">
        <f>=IFERROR(INDEX('CLEAN'!$F$2:$F$9999,2),"")</f>
      </c>
      <c r="C31" s="0">
        <f>=IFERROR(INDEX('CLEAN'!$C$2:$C$9999,2),"")</f>
      </c>
      <c r="D31" s="0">
        <v>2</v>
      </c>
      <c r="E31" s="0">
        <f>SUMPRODUCT(N(ISNUMBER(SEARCH($B$30:$B31,TEXTJOIN(" ",TRUE,$C$30:$C31)))))</f>
      </c>
      <c r="F31" s="0">
        <f>=E31/D31</f>
      </c>
    </row>
    <row r="32">
      <c r="B32" s="0">
        <f>=IFERROR(INDEX('CLEAN'!$F$2:$F$9999,3),"")</f>
      </c>
      <c r="C32" s="0">
        <f>=IFERROR(INDEX('CLEAN'!$C$2:$C$9999,3),"")</f>
      </c>
      <c r="D32" s="0">
        <v>3</v>
      </c>
      <c r="E32" s="0">
        <f>SUMPRODUCT(N(ISNUMBER(SEARCH($B$30:$B32,TEXTJOIN(" ",TRUE,$C$30:$C32)))))</f>
      </c>
      <c r="F32" s="0">
        <f>=E32/D32</f>
      </c>
    </row>
    <row r="33">
      <c r="B33" s="0">
        <f>=IFERROR(INDEX('CLEAN'!$F$2:$F$9999,4),"")</f>
      </c>
      <c r="C33" s="0">
        <f>=IFERROR(INDEX('CLEAN'!$C$2:$C$9999,4),"")</f>
      </c>
      <c r="D33" s="0">
        <v>4</v>
      </c>
      <c r="E33" s="0">
        <f>SUMPRODUCT(N(ISNUMBER(SEARCH($B$30:$B33,TEXTJOIN(" ",TRUE,$C$30:$C33)))))</f>
      </c>
      <c r="F33" s="0">
        <f>=E33/D33</f>
      </c>
    </row>
    <row r="34">
      <c r="B34" s="0">
        <f>=IFERROR(INDEX('CLEAN'!$F$2:$F$9999,5),"")</f>
      </c>
      <c r="C34" s="0">
        <f>=IFERROR(INDEX('CLEAN'!$C$2:$C$9999,5),"")</f>
      </c>
      <c r="D34" s="0">
        <v>5</v>
      </c>
      <c r="E34" s="0">
        <f>SUMPRODUCT(N(ISNUMBER(SEARCH($B$30:$B34,TEXTJOIN(" ",TRUE,$C$30:$C34)))))</f>
      </c>
      <c r="F34" s="0">
        <f>=E34/D34</f>
      </c>
    </row>
    <row r="35">
      <c r="B35" s="0">
        <f>=IFERROR(INDEX('CLEAN'!$F$2:$F$9999,6),"")</f>
      </c>
      <c r="C35" s="0">
        <f>=IFERROR(INDEX('CLEAN'!$C$2:$C$9999,6),"")</f>
      </c>
      <c r="D35" s="0">
        <v>6</v>
      </c>
      <c r="E35" s="0">
        <f>SUMPRODUCT(N(ISNUMBER(SEARCH($B$30:$B35,TEXTJOIN(" ",TRUE,$C$30:$C35)))))</f>
      </c>
      <c r="F35" s="0">
        <f>=E35/D35</f>
      </c>
    </row>
    <row r="36">
      <c r="B36" s="0">
        <f>=IFERROR(INDEX('CLEAN'!$F$2:$F$9999,7),"")</f>
      </c>
      <c r="C36" s="0">
        <f>=IFERROR(INDEX('CLEAN'!$C$2:$C$9999,7),"")</f>
      </c>
      <c r="D36" s="0">
        <v>7</v>
      </c>
      <c r="E36" s="0">
        <f>SUMPRODUCT(N(ISNUMBER(SEARCH($B$30:$B36,TEXTJOIN(" ",TRUE,$C$30:$C36)))))</f>
      </c>
      <c r="F36" s="0">
        <f>=E36/D36</f>
      </c>
    </row>
    <row r="37">
      <c r="B37" s="0">
        <f>=IFERROR(INDEX('CLEAN'!$F$2:$F$9999,8),"")</f>
      </c>
      <c r="C37" s="0">
        <f>=IFERROR(INDEX('CLEAN'!$C$2:$C$9999,8),"")</f>
      </c>
      <c r="D37" s="0">
        <v>8</v>
      </c>
      <c r="E37" s="0">
        <f>SUMPRODUCT(N(ISNUMBER(SEARCH($B$30:$B37,TEXTJOIN(" ",TRUE,$C$30:$C37)))))</f>
      </c>
      <c r="F37" s="0">
        <f>=E37/D37</f>
      </c>
    </row>
    <row r="38">
      <c r="B38" s="0">
        <f>=IFERROR(INDEX('CLEAN'!$F$2:$F$9999,9),"")</f>
      </c>
      <c r="C38" s="0">
        <f>=IFERROR(INDEX('CLEAN'!$C$2:$C$9999,9),"")</f>
      </c>
      <c r="D38" s="0">
        <v>9</v>
      </c>
      <c r="E38" s="0">
        <f>SUMPRODUCT(N(ISNUMBER(SEARCH($B$30:$B38,TEXTJOIN(" ",TRUE,$C$30:$C38)))))</f>
      </c>
      <c r="F38" s="0">
        <f>=E38/D38</f>
      </c>
    </row>
    <row r="39">
      <c r="B39" s="0">
        <f>=IFERROR(INDEX('CLEAN'!$F$2:$F$9999,10),"")</f>
      </c>
      <c r="C39" s="0">
        <f>=IFERROR(INDEX('CLEAN'!$C$2:$C$9999,10),"")</f>
      </c>
      <c r="D39" s="0">
        <v>10</v>
      </c>
      <c r="E39" s="0">
        <f>SUMPRODUCT(N(ISNUMBER(SEARCH($B$30:$B39,TEXTJOIN(" ",TRUE,$C$30:$C39)))))</f>
      </c>
      <c r="F39" s="0">
        <f>=E39/D39</f>
      </c>
    </row>
    <row r="41">
      <c r="D41" s="6" t="s">
        <v>119</v>
      </c>
      <c r="F41" s="6">
        <f>=AVERAGE(F30:F39)</f>
      </c>
    </row>
    <row r="43">
      <c r="A43" s="6" t="s">
        <v>236</v>
      </c>
    </row>
    <row r="44">
      <c r="A44" s="6" t="s">
        <v>114</v>
      </c>
      <c r="B44" s="6" t="s">
        <v>115</v>
      </c>
      <c r="C44" s="6" t="s">
        <v>116</v>
      </c>
      <c r="D44" s="6" t="s">
        <v>0</v>
      </c>
      <c r="E44" s="6" t="s">
        <v>117</v>
      </c>
      <c r="F44" s="6" t="s">
        <v>118</v>
      </c>
    </row>
    <row r="45">
      <c r="B45" s="0">
        <f>=IFERROR(INDEX('CLEAN'!$F$2:$F$9999,1),"")</f>
      </c>
      <c r="C45" s="0">
        <f>=IFERROR(INDEX('CLEAN'!$D$2:$D$9999,1),"")</f>
      </c>
      <c r="D45" s="0">
        <v>1</v>
      </c>
      <c r="E45" s="0">
        <f>SUMPRODUCT(N(ISNUMBER(SEARCH($B$45:$B45,TEXTJOIN(" ",TRUE,$C$45:$C45)))))</f>
      </c>
      <c r="F45" s="0">
        <f>=E45/D45</f>
      </c>
    </row>
    <row r="46">
      <c r="B46" s="0">
        <f>=IFERROR(INDEX('CLEAN'!$F$2:$F$9999,2),"")</f>
      </c>
      <c r="C46" s="0">
        <f>=IFERROR(INDEX('CLEAN'!$D$2:$D$9999,2),"")</f>
      </c>
      <c r="D46" s="0">
        <v>2</v>
      </c>
      <c r="E46" s="0">
        <f>SUMPRODUCT(N(ISNUMBER(SEARCH($B$45:$B46,TEXTJOIN(" ",TRUE,$C$45:$C46)))))</f>
      </c>
      <c r="F46" s="0">
        <f>=E46/D46</f>
      </c>
    </row>
    <row r="47">
      <c r="B47" s="0">
        <f>=IFERROR(INDEX('CLEAN'!$F$2:$F$9999,3),"")</f>
      </c>
      <c r="C47" s="0">
        <f>=IFERROR(INDEX('CLEAN'!$D$2:$D$9999,3),"")</f>
      </c>
      <c r="D47" s="0">
        <v>3</v>
      </c>
      <c r="E47" s="0">
        <f>SUMPRODUCT(N(ISNUMBER(SEARCH($B$45:$B47,TEXTJOIN(" ",TRUE,$C$45:$C47)))))</f>
      </c>
      <c r="F47" s="0">
        <f>=E47/D47</f>
      </c>
    </row>
    <row r="48">
      <c r="B48" s="0">
        <f>=IFERROR(INDEX('CLEAN'!$F$2:$F$9999,4),"")</f>
      </c>
      <c r="C48" s="0">
        <f>=IFERROR(INDEX('CLEAN'!$D$2:$D$9999,4),"")</f>
      </c>
      <c r="D48" s="0">
        <v>4</v>
      </c>
      <c r="E48" s="0">
        <f>SUMPRODUCT(N(ISNUMBER(SEARCH($B$45:$B48,TEXTJOIN(" ",TRUE,$C$45:$C48)))))</f>
      </c>
      <c r="F48" s="0">
        <f>=E48/D48</f>
      </c>
    </row>
    <row r="49">
      <c r="B49" s="0">
        <f>=IFERROR(INDEX('CLEAN'!$F$2:$F$9999,5),"")</f>
      </c>
      <c r="C49" s="0">
        <f>=IFERROR(INDEX('CLEAN'!$D$2:$D$9999,5),"")</f>
      </c>
      <c r="D49" s="0">
        <v>5</v>
      </c>
      <c r="E49" s="0">
        <f>SUMPRODUCT(N(ISNUMBER(SEARCH($B$45:$B49,TEXTJOIN(" ",TRUE,$C$45:$C49)))))</f>
      </c>
      <c r="F49" s="0">
        <f>=E49/D49</f>
      </c>
    </row>
    <row r="50">
      <c r="B50" s="0">
        <f>=IFERROR(INDEX('CLEAN'!$F$2:$F$9999,6),"")</f>
      </c>
      <c r="C50" s="0">
        <f>=IFERROR(INDEX('CLEAN'!$D$2:$D$9999,6),"")</f>
      </c>
      <c r="D50" s="0">
        <v>6</v>
      </c>
      <c r="E50" s="0">
        <f>SUMPRODUCT(N(ISNUMBER(SEARCH($B$45:$B50,TEXTJOIN(" ",TRUE,$C$45:$C50)))))</f>
      </c>
      <c r="F50" s="0">
        <f>=E50/D50</f>
      </c>
    </row>
    <row r="51">
      <c r="B51" s="0">
        <f>=IFERROR(INDEX('CLEAN'!$F$2:$F$9999,7),"")</f>
      </c>
      <c r="C51" s="0">
        <f>=IFERROR(INDEX('CLEAN'!$D$2:$D$9999,7),"")</f>
      </c>
      <c r="D51" s="0">
        <v>7</v>
      </c>
      <c r="E51" s="0">
        <f>SUMPRODUCT(N(ISNUMBER(SEARCH($B$45:$B51,TEXTJOIN(" ",TRUE,$C$45:$C51)))))</f>
      </c>
      <c r="F51" s="0">
        <f>=E51/D51</f>
      </c>
    </row>
    <row r="52">
      <c r="B52" s="0">
        <f>=IFERROR(INDEX('CLEAN'!$F$2:$F$9999,8),"")</f>
      </c>
      <c r="C52" s="0">
        <f>=IFERROR(INDEX('CLEAN'!$D$2:$D$9999,8),"")</f>
      </c>
      <c r="D52" s="0">
        <v>8</v>
      </c>
      <c r="E52" s="0">
        <f>SUMPRODUCT(N(ISNUMBER(SEARCH($B$45:$B52,TEXTJOIN(" ",TRUE,$C$45:$C52)))))</f>
      </c>
      <c r="F52" s="0">
        <f>=E52/D52</f>
      </c>
    </row>
    <row r="53">
      <c r="B53" s="0">
        <f>=IFERROR(INDEX('CLEAN'!$F$2:$F$9999,9),"")</f>
      </c>
      <c r="C53" s="0">
        <f>=IFERROR(INDEX('CLEAN'!$D$2:$D$9999,9),"")</f>
      </c>
      <c r="D53" s="0">
        <v>9</v>
      </c>
      <c r="E53" s="0">
        <f>SUMPRODUCT(N(ISNUMBER(SEARCH($B$45:$B53,TEXTJOIN(" ",TRUE,$C$45:$C53)))))</f>
      </c>
      <c r="F53" s="0">
        <f>=E53/D53</f>
      </c>
    </row>
    <row r="54">
      <c r="B54" s="0">
        <f>=IFERROR(INDEX('CLEAN'!$F$2:$F$9999,10),"")</f>
      </c>
      <c r="C54" s="0">
        <f>=IFERROR(INDEX('CLEAN'!$D$2:$D$9999,10),"")</f>
      </c>
      <c r="D54" s="0">
        <v>10</v>
      </c>
      <c r="E54" s="0">
        <f>SUMPRODUCT(N(ISNUMBER(SEARCH($B$45:$B54,TEXTJOIN(" ",TRUE,$C$45:$C54)))))</f>
      </c>
      <c r="F54" s="0">
        <f>=E54/D54</f>
      </c>
    </row>
    <row r="56">
      <c r="D56" s="6" t="s">
        <v>119</v>
      </c>
      <c r="F56" s="6">
        <f>=AVERAGE(F45:F54)</f>
      </c>
    </row>
    <row r="58">
      <c r="A58" s="6" t="s">
        <v>237</v>
      </c>
    </row>
    <row r="59">
      <c r="A59" s="6" t="s">
        <v>114</v>
      </c>
      <c r="B59" s="6" t="s">
        <v>115</v>
      </c>
      <c r="C59" s="6" t="s">
        <v>116</v>
      </c>
      <c r="D59" s="6" t="s">
        <v>0</v>
      </c>
      <c r="E59" s="6" t="s">
        <v>117</v>
      </c>
      <c r="F59" s="6" t="s">
        <v>118</v>
      </c>
    </row>
    <row r="60">
      <c r="B60" s="0">
        <f>=IFERROR(INDEX('CLEAN'!$F$2:$F$9999,1),"")</f>
      </c>
      <c r="C60" s="0">
        <f>=IFERROR(INDEX('CLEAN'!$E$2:$E$9999,1),"")</f>
      </c>
      <c r="D60" s="0">
        <v>1</v>
      </c>
      <c r="E60" s="0">
        <f>SUMPRODUCT(N(ISNUMBER(SEARCH($B$60:$B60,TEXTJOIN(" ",TRUE,$C$60:$C60)))))</f>
      </c>
      <c r="F60" s="0">
        <f>=E60/D60</f>
      </c>
    </row>
    <row r="61">
      <c r="B61" s="0">
        <f>=IFERROR(INDEX('CLEAN'!$F$2:$F$9999,2),"")</f>
      </c>
      <c r="C61" s="0">
        <f>=IFERROR(INDEX('CLEAN'!$E$2:$E$9999,2),"")</f>
      </c>
      <c r="D61" s="0">
        <v>2</v>
      </c>
      <c r="E61" s="0">
        <f>SUMPRODUCT(N(ISNUMBER(SEARCH($B$60:$B61,TEXTJOIN(" ",TRUE,$C$60:$C61)))))</f>
      </c>
      <c r="F61" s="0">
        <f>=E61/D61</f>
      </c>
    </row>
    <row r="62">
      <c r="B62" s="0">
        <f>=IFERROR(INDEX('CLEAN'!$F$2:$F$9999,3),"")</f>
      </c>
      <c r="C62" s="0">
        <f>=IFERROR(INDEX('CLEAN'!$E$2:$E$9999,3),"")</f>
      </c>
      <c r="D62" s="0">
        <v>3</v>
      </c>
      <c r="E62" s="0">
        <f>SUMPRODUCT(N(ISNUMBER(SEARCH($B$60:$B62,TEXTJOIN(" ",TRUE,$C$60:$C62)))))</f>
      </c>
      <c r="F62" s="0">
        <f>=E62/D62</f>
      </c>
    </row>
    <row r="63">
      <c r="B63" s="0">
        <f>=IFERROR(INDEX('CLEAN'!$F$2:$F$9999,4),"")</f>
      </c>
      <c r="C63" s="0">
        <f>=IFERROR(INDEX('CLEAN'!$E$2:$E$9999,4),"")</f>
      </c>
      <c r="D63" s="0">
        <v>4</v>
      </c>
      <c r="E63" s="0">
        <f>SUMPRODUCT(N(ISNUMBER(SEARCH($B$60:$B63,TEXTJOIN(" ",TRUE,$C$60:$C63)))))</f>
      </c>
      <c r="F63" s="0">
        <f>=E63/D63</f>
      </c>
    </row>
    <row r="64">
      <c r="B64" s="0">
        <f>=IFERROR(INDEX('CLEAN'!$F$2:$F$9999,5),"")</f>
      </c>
      <c r="C64" s="0">
        <f>=IFERROR(INDEX('CLEAN'!$E$2:$E$9999,5),"")</f>
      </c>
      <c r="D64" s="0">
        <v>5</v>
      </c>
      <c r="E64" s="0">
        <f>SUMPRODUCT(N(ISNUMBER(SEARCH($B$60:$B64,TEXTJOIN(" ",TRUE,$C$60:$C64)))))</f>
      </c>
      <c r="F64" s="0">
        <f>=E64/D64</f>
      </c>
    </row>
    <row r="65">
      <c r="B65" s="0">
        <f>=IFERROR(INDEX('CLEAN'!$F$2:$F$9999,6),"")</f>
      </c>
      <c r="C65" s="0">
        <f>=IFERROR(INDEX('CLEAN'!$E$2:$E$9999,6),"")</f>
      </c>
      <c r="D65" s="0">
        <v>6</v>
      </c>
      <c r="E65" s="0">
        <f>SUMPRODUCT(N(ISNUMBER(SEARCH($B$60:$B65,TEXTJOIN(" ",TRUE,$C$60:$C65)))))</f>
      </c>
      <c r="F65" s="0">
        <f>=E65/D65</f>
      </c>
    </row>
    <row r="66">
      <c r="B66" s="0">
        <f>=IFERROR(INDEX('CLEAN'!$F$2:$F$9999,7),"")</f>
      </c>
      <c r="C66" s="0">
        <f>=IFERROR(INDEX('CLEAN'!$E$2:$E$9999,7),"")</f>
      </c>
      <c r="D66" s="0">
        <v>7</v>
      </c>
      <c r="E66" s="0">
        <f>SUMPRODUCT(N(ISNUMBER(SEARCH($B$60:$B66,TEXTJOIN(" ",TRUE,$C$60:$C66)))))</f>
      </c>
      <c r="F66" s="0">
        <f>=E66/D66</f>
      </c>
    </row>
    <row r="67">
      <c r="B67" s="0">
        <f>=IFERROR(INDEX('CLEAN'!$F$2:$F$9999,8),"")</f>
      </c>
      <c r="C67" s="0">
        <f>=IFERROR(INDEX('CLEAN'!$E$2:$E$9999,8),"")</f>
      </c>
      <c r="D67" s="0">
        <v>8</v>
      </c>
      <c r="E67" s="0">
        <f>SUMPRODUCT(N(ISNUMBER(SEARCH($B$60:$B67,TEXTJOIN(" ",TRUE,$C$60:$C67)))))</f>
      </c>
      <c r="F67" s="0">
        <f>=E67/D67</f>
      </c>
    </row>
    <row r="68">
      <c r="B68" s="0">
        <f>=IFERROR(INDEX('CLEAN'!$F$2:$F$9999,9),"")</f>
      </c>
      <c r="C68" s="0">
        <f>=IFERROR(INDEX('CLEAN'!$E$2:$E$9999,9),"")</f>
      </c>
      <c r="D68" s="0">
        <v>9</v>
      </c>
      <c r="E68" s="0">
        <f>SUMPRODUCT(N(ISNUMBER(SEARCH($B$60:$B68,TEXTJOIN(" ",TRUE,$C$60:$C68)))))</f>
      </c>
      <c r="F68" s="0">
        <f>=E68/D68</f>
      </c>
    </row>
    <row r="69">
      <c r="B69" s="0">
        <f>=IFERROR(INDEX('CLEAN'!$F$2:$F$9999,10),"")</f>
      </c>
      <c r="C69" s="0">
        <f>=IFERROR(INDEX('CLEAN'!$E$2:$E$9999,10),"")</f>
      </c>
      <c r="D69" s="0">
        <v>10</v>
      </c>
      <c r="E69" s="0">
        <f>SUMPRODUCT(N(ISNUMBER(SEARCH($B$60:$B69,TEXTJOIN(" ",TRUE,$C$60:$C69)))))</f>
      </c>
      <c r="F69" s="0">
        <f>=E69/D69</f>
      </c>
    </row>
    <row r="71">
      <c r="D71" s="6" t="s">
        <v>119</v>
      </c>
      <c r="F71" s="6">
        <f>=AVERAGE(F60:F69)</f>
      </c>
    </row>
  </sheetData>
  <mergeCells>
    <mergeCell ref="A13:F13"/>
    <mergeCell ref="A28:F28"/>
    <mergeCell ref="A43:F43"/>
    <mergeCell ref="A58:F58"/>
  </mergeCells>
  <hyperlinks>
    <hyperlink ref="C2" r:id="rId34"/>
    <hyperlink ref="D2" r:id="rId35"/>
    <hyperlink ref="D3" r:id="rId36"/>
    <hyperlink ref="D4" r:id="rId37"/>
    <hyperlink ref="C5" r:id="rId38"/>
    <hyperlink ref="D5" r:id="rId39"/>
    <hyperlink ref="C6" r:id="rId40"/>
    <hyperlink ref="D6" r:id="rId41"/>
    <hyperlink ref="C7" r:id="rId42"/>
    <hyperlink ref="D7" r:id="rId43"/>
    <hyperlink ref="C8" r:id="rId44"/>
    <hyperlink ref="D8" r:id="rId45"/>
    <hyperlink ref="D9" r:id="rId46"/>
    <hyperlink ref="C10" r:id="rId47"/>
    <hyperlink ref="D10" r:id="rId48"/>
    <hyperlink ref="C11" r:id="rId49"/>
    <hyperlink ref="D11" r:id="rId50"/>
  </hyperlinks>
  <headerFooter/>
</worksheet>
</file>